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1"/>
  <workbookPr/>
  <mc:AlternateContent xmlns:mc="http://schemas.openxmlformats.org/markup-compatibility/2006">
    <mc:Choice Requires="x15">
      <x15ac:absPath xmlns:x15ac="http://schemas.microsoft.com/office/spreadsheetml/2010/11/ac" url="/Users/daniellamires/Desktop/Data Org/"/>
    </mc:Choice>
  </mc:AlternateContent>
  <xr:revisionPtr revIDLastSave="0" documentId="13_ncr:1_{266AC314-67E1-6A4B-A43B-68D27B7A1766}" xr6:coauthVersionLast="47" xr6:coauthVersionMax="47" xr10:uidLastSave="{00000000-0000-0000-0000-000000000000}"/>
  <bookViews>
    <workbookView xWindow="0" yWindow="500" windowWidth="28800" windowHeight="153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201" i="1" l="1"/>
  <c r="X201" i="1"/>
  <c r="T201" i="1"/>
  <c r="S201" i="1"/>
  <c r="Y200" i="1"/>
  <c r="X200" i="1"/>
  <c r="T200" i="1"/>
  <c r="S200" i="1"/>
  <c r="AB199" i="1"/>
  <c r="Y199" i="1"/>
  <c r="X199" i="1"/>
  <c r="T199" i="1"/>
  <c r="S199" i="1"/>
  <c r="K199" i="1"/>
  <c r="AB198" i="1"/>
  <c r="Y198" i="1"/>
  <c r="X198" i="1"/>
  <c r="T198" i="1"/>
  <c r="S198" i="1"/>
  <c r="K198" i="1"/>
  <c r="AB197" i="1"/>
  <c r="Y197" i="1"/>
  <c r="X197" i="1"/>
  <c r="T197" i="1"/>
  <c r="S197" i="1"/>
  <c r="K197" i="1"/>
  <c r="Y196" i="1"/>
  <c r="X196" i="1"/>
  <c r="T196" i="1"/>
  <c r="S196" i="1"/>
  <c r="Y195" i="1"/>
  <c r="X195" i="1"/>
  <c r="T195" i="1"/>
  <c r="S195" i="1"/>
  <c r="AB194" i="1"/>
  <c r="Y194" i="1"/>
  <c r="X194" i="1"/>
  <c r="T194" i="1"/>
  <c r="S194" i="1"/>
  <c r="K194" i="1"/>
  <c r="AB193" i="1"/>
  <c r="Y193" i="1"/>
  <c r="X193" i="1"/>
  <c r="T193" i="1"/>
  <c r="S193" i="1"/>
  <c r="K193" i="1"/>
  <c r="AB192" i="1"/>
  <c r="Y192" i="1"/>
  <c r="X192" i="1"/>
  <c r="T192" i="1"/>
  <c r="S192" i="1"/>
  <c r="K192" i="1"/>
  <c r="Y191" i="1"/>
  <c r="X191" i="1"/>
  <c r="T191" i="1"/>
  <c r="S191" i="1"/>
  <c r="Y190" i="1"/>
  <c r="X190" i="1"/>
  <c r="T190" i="1"/>
  <c r="S190" i="1"/>
  <c r="AB189" i="1"/>
  <c r="Y189" i="1"/>
  <c r="X189" i="1"/>
  <c r="T189" i="1"/>
  <c r="S189" i="1"/>
  <c r="K189" i="1"/>
  <c r="AB188" i="1"/>
  <c r="Y188" i="1"/>
  <c r="X188" i="1"/>
  <c r="T188" i="1"/>
  <c r="S188" i="1"/>
  <c r="K188" i="1"/>
  <c r="AB187" i="1"/>
  <c r="Y187" i="1"/>
  <c r="X187" i="1"/>
  <c r="T187" i="1"/>
  <c r="S187" i="1"/>
  <c r="K187" i="1"/>
  <c r="Y186" i="1"/>
  <c r="X186" i="1"/>
  <c r="T186" i="1"/>
  <c r="S186" i="1"/>
  <c r="Y185" i="1"/>
  <c r="X185" i="1"/>
  <c r="T185" i="1"/>
  <c r="S185" i="1"/>
  <c r="AB184" i="1"/>
  <c r="Y184" i="1"/>
  <c r="X184" i="1"/>
  <c r="T184" i="1"/>
  <c r="S184" i="1"/>
  <c r="K184" i="1"/>
  <c r="AB183" i="1"/>
  <c r="Y183" i="1"/>
  <c r="X183" i="1"/>
  <c r="T183" i="1"/>
  <c r="S183" i="1"/>
  <c r="K183" i="1"/>
  <c r="AB182" i="1"/>
  <c r="Y182" i="1"/>
  <c r="X182" i="1"/>
  <c r="T182" i="1"/>
  <c r="S182" i="1"/>
  <c r="K182" i="1"/>
  <c r="Y181" i="1"/>
  <c r="X181" i="1"/>
  <c r="T181" i="1"/>
  <c r="S181" i="1"/>
  <c r="Y180" i="1"/>
  <c r="X180" i="1"/>
  <c r="T180" i="1"/>
  <c r="S180" i="1"/>
  <c r="AB179" i="1"/>
  <c r="Y179" i="1"/>
  <c r="X179" i="1"/>
  <c r="T179" i="1"/>
  <c r="S179" i="1"/>
  <c r="K179" i="1"/>
  <c r="AB178" i="1"/>
  <c r="Y178" i="1"/>
  <c r="X178" i="1"/>
  <c r="T178" i="1"/>
  <c r="S178" i="1"/>
  <c r="K178" i="1"/>
  <c r="AB177" i="1"/>
  <c r="Y177" i="1"/>
  <c r="X177" i="1"/>
  <c r="T177" i="1"/>
  <c r="S177" i="1"/>
  <c r="K177" i="1"/>
  <c r="Y176" i="1"/>
  <c r="X176" i="1"/>
  <c r="T176" i="1"/>
  <c r="S176" i="1"/>
  <c r="Y175" i="1"/>
  <c r="X175" i="1"/>
  <c r="T175" i="1"/>
  <c r="S175" i="1"/>
  <c r="AB174" i="1"/>
  <c r="Y174" i="1"/>
  <c r="X174" i="1"/>
  <c r="T174" i="1"/>
  <c r="S174" i="1"/>
  <c r="K174" i="1"/>
  <c r="AB173" i="1"/>
  <c r="Y173" i="1"/>
  <c r="X173" i="1"/>
  <c r="T173" i="1"/>
  <c r="S173" i="1"/>
  <c r="K173" i="1"/>
  <c r="AB172" i="1"/>
  <c r="Y172" i="1"/>
  <c r="X172" i="1"/>
  <c r="T172" i="1"/>
  <c r="S172" i="1"/>
  <c r="K172" i="1"/>
  <c r="Y171" i="1"/>
  <c r="X171" i="1"/>
  <c r="T171" i="1"/>
  <c r="S171" i="1"/>
  <c r="Y170" i="1"/>
  <c r="X170" i="1"/>
  <c r="T170" i="1"/>
  <c r="S170" i="1"/>
  <c r="AB169" i="1"/>
  <c r="Y169" i="1"/>
  <c r="X169" i="1"/>
  <c r="T169" i="1"/>
  <c r="S169" i="1"/>
  <c r="K169" i="1"/>
  <c r="AB168" i="1"/>
  <c r="Y168" i="1"/>
  <c r="X168" i="1"/>
  <c r="T168" i="1"/>
  <c r="S168" i="1"/>
  <c r="K168" i="1"/>
  <c r="AB167" i="1"/>
  <c r="Y167" i="1"/>
  <c r="X167" i="1"/>
  <c r="T167" i="1"/>
  <c r="S167" i="1"/>
  <c r="K167" i="1"/>
  <c r="Y166" i="1"/>
  <c r="X166" i="1"/>
  <c r="T166" i="1"/>
  <c r="S166" i="1"/>
  <c r="Y165" i="1"/>
  <c r="X165" i="1"/>
  <c r="T165" i="1"/>
  <c r="S165" i="1"/>
  <c r="AB164" i="1"/>
  <c r="Y164" i="1"/>
  <c r="X164" i="1"/>
  <c r="T164" i="1"/>
  <c r="S164" i="1"/>
  <c r="K164" i="1"/>
  <c r="AB163" i="1"/>
  <c r="Y163" i="1"/>
  <c r="X163" i="1"/>
  <c r="T163" i="1"/>
  <c r="S163" i="1"/>
  <c r="K163" i="1"/>
  <c r="AB162" i="1"/>
  <c r="Y162" i="1"/>
  <c r="X162" i="1"/>
  <c r="T162" i="1"/>
  <c r="S162" i="1"/>
  <c r="K162" i="1"/>
  <c r="Y161" i="1"/>
  <c r="X161" i="1"/>
  <c r="T161" i="1"/>
  <c r="S161" i="1"/>
  <c r="Y160" i="1"/>
  <c r="X160" i="1"/>
  <c r="T160" i="1"/>
  <c r="S160" i="1"/>
  <c r="AB159" i="1"/>
  <c r="Y159" i="1"/>
  <c r="X159" i="1"/>
  <c r="T159" i="1"/>
  <c r="S159" i="1"/>
  <c r="K159" i="1"/>
  <c r="AB158" i="1"/>
  <c r="Y158" i="1"/>
  <c r="X158" i="1"/>
  <c r="T158" i="1"/>
  <c r="S158" i="1"/>
  <c r="K158" i="1"/>
  <c r="AB157" i="1"/>
  <c r="Y157" i="1"/>
  <c r="X157" i="1"/>
  <c r="T157" i="1"/>
  <c r="S157" i="1"/>
  <c r="K157" i="1"/>
  <c r="Y156" i="1"/>
  <c r="X156" i="1"/>
  <c r="T156" i="1"/>
  <c r="S156" i="1"/>
  <c r="Y155" i="1"/>
  <c r="X155" i="1"/>
  <c r="T155" i="1"/>
  <c r="S155" i="1"/>
  <c r="AB154" i="1"/>
  <c r="Y154" i="1"/>
  <c r="X154" i="1"/>
  <c r="T154" i="1"/>
  <c r="S154" i="1"/>
  <c r="K154" i="1"/>
  <c r="AB153" i="1"/>
  <c r="Y153" i="1"/>
  <c r="X153" i="1"/>
  <c r="T153" i="1"/>
  <c r="S153" i="1"/>
  <c r="K153" i="1"/>
  <c r="AB152" i="1"/>
  <c r="Y152" i="1"/>
  <c r="X152" i="1"/>
  <c r="T152" i="1"/>
  <c r="S152" i="1"/>
  <c r="K152" i="1"/>
  <c r="Y151" i="1"/>
  <c r="X151" i="1"/>
  <c r="T151" i="1"/>
  <c r="S151" i="1"/>
  <c r="Y150" i="1"/>
  <c r="X150" i="1"/>
  <c r="T150" i="1"/>
  <c r="S150" i="1"/>
  <c r="AB149" i="1"/>
  <c r="Y149" i="1"/>
  <c r="X149" i="1"/>
  <c r="T149" i="1"/>
  <c r="S149" i="1"/>
  <c r="K149" i="1"/>
  <c r="AB148" i="1"/>
  <c r="Y148" i="1"/>
  <c r="X148" i="1"/>
  <c r="T148" i="1"/>
  <c r="S148" i="1"/>
  <c r="K148" i="1"/>
  <c r="AB147" i="1"/>
  <c r="Y147" i="1"/>
  <c r="X147" i="1"/>
  <c r="T147" i="1"/>
  <c r="S147" i="1"/>
  <c r="K147" i="1"/>
  <c r="Y146" i="1"/>
  <c r="X146" i="1"/>
  <c r="T146" i="1"/>
  <c r="S146" i="1"/>
  <c r="Y145" i="1"/>
  <c r="X145" i="1"/>
  <c r="T145" i="1"/>
  <c r="S145" i="1"/>
  <c r="AB144" i="1"/>
  <c r="Y144" i="1"/>
  <c r="X144" i="1"/>
  <c r="T144" i="1"/>
  <c r="S144" i="1"/>
  <c r="K144" i="1"/>
  <c r="AB143" i="1"/>
  <c r="Y143" i="1"/>
  <c r="X143" i="1"/>
  <c r="T143" i="1"/>
  <c r="S143" i="1"/>
  <c r="K143" i="1"/>
  <c r="AB142" i="1"/>
  <c r="Y142" i="1"/>
  <c r="X142" i="1"/>
  <c r="T142" i="1"/>
  <c r="S142" i="1"/>
  <c r="K142" i="1"/>
  <c r="Y141" i="1"/>
  <c r="X141" i="1"/>
  <c r="T141" i="1"/>
  <c r="S141" i="1"/>
  <c r="Y140" i="1"/>
  <c r="X140" i="1"/>
  <c r="T140" i="1"/>
  <c r="S140" i="1"/>
  <c r="AB139" i="1"/>
  <c r="Y139" i="1"/>
  <c r="X139" i="1"/>
  <c r="T139" i="1"/>
  <c r="S139" i="1"/>
  <c r="K139" i="1"/>
  <c r="AB138" i="1"/>
  <c r="Y138" i="1"/>
  <c r="X138" i="1"/>
  <c r="T138" i="1"/>
  <c r="S138" i="1"/>
  <c r="K138" i="1"/>
  <c r="AB137" i="1"/>
  <c r="Y137" i="1"/>
  <c r="X137" i="1"/>
  <c r="T137" i="1"/>
  <c r="S137" i="1"/>
  <c r="K137" i="1"/>
  <c r="Y136" i="1"/>
  <c r="X136" i="1"/>
  <c r="T136" i="1"/>
  <c r="S136" i="1"/>
  <c r="Y135" i="1"/>
  <c r="X135" i="1"/>
  <c r="T135" i="1"/>
  <c r="S135" i="1"/>
  <c r="AB134" i="1"/>
  <c r="Y134" i="1"/>
  <c r="X134" i="1"/>
  <c r="T134" i="1"/>
  <c r="S134" i="1"/>
  <c r="K134" i="1"/>
  <c r="AB133" i="1"/>
  <c r="Y133" i="1"/>
  <c r="X133" i="1"/>
  <c r="T133" i="1"/>
  <c r="S133" i="1"/>
  <c r="K133" i="1"/>
  <c r="AB132" i="1"/>
  <c r="Y132" i="1"/>
  <c r="X132" i="1"/>
  <c r="T132" i="1"/>
  <c r="S132" i="1"/>
  <c r="K132" i="1"/>
  <c r="Y131" i="1"/>
  <c r="X131" i="1"/>
  <c r="T131" i="1"/>
  <c r="S131" i="1"/>
  <c r="Y130" i="1"/>
  <c r="X130" i="1"/>
  <c r="T130" i="1"/>
  <c r="S130" i="1"/>
  <c r="AB129" i="1"/>
  <c r="Y129" i="1"/>
  <c r="X129" i="1"/>
  <c r="T129" i="1"/>
  <c r="S129" i="1"/>
  <c r="K129" i="1"/>
  <c r="AB128" i="1"/>
  <c r="Y128" i="1"/>
  <c r="X128" i="1"/>
  <c r="T128" i="1"/>
  <c r="S128" i="1"/>
  <c r="K128" i="1"/>
  <c r="AB127" i="1"/>
  <c r="Y127" i="1"/>
  <c r="X127" i="1"/>
  <c r="T127" i="1"/>
  <c r="S127" i="1"/>
  <c r="K127" i="1"/>
  <c r="Y126" i="1"/>
  <c r="X126" i="1"/>
  <c r="T126" i="1"/>
  <c r="S126" i="1"/>
  <c r="Y125" i="1"/>
  <c r="X125" i="1"/>
  <c r="T125" i="1"/>
  <c r="S125" i="1"/>
  <c r="AB124" i="1"/>
  <c r="Y124" i="1"/>
  <c r="X124" i="1"/>
  <c r="T124" i="1"/>
  <c r="S124" i="1"/>
  <c r="K124" i="1"/>
  <c r="AB123" i="1"/>
  <c r="Y123" i="1"/>
  <c r="X123" i="1"/>
  <c r="T123" i="1"/>
  <c r="S123" i="1"/>
  <c r="K123" i="1"/>
  <c r="AB122" i="1"/>
  <c r="Y122" i="1"/>
  <c r="X122" i="1"/>
  <c r="T122" i="1"/>
  <c r="S122" i="1"/>
  <c r="K122" i="1"/>
  <c r="Y121" i="1"/>
  <c r="X121" i="1"/>
  <c r="T121" i="1"/>
  <c r="S121" i="1"/>
  <c r="Y120" i="1"/>
  <c r="X120" i="1"/>
  <c r="T120" i="1"/>
  <c r="S120" i="1"/>
  <c r="AB119" i="1"/>
  <c r="Y119" i="1"/>
  <c r="X119" i="1"/>
  <c r="T119" i="1"/>
  <c r="S119" i="1"/>
  <c r="K119" i="1"/>
  <c r="AB118" i="1"/>
  <c r="Y118" i="1"/>
  <c r="X118" i="1"/>
  <c r="T118" i="1"/>
  <c r="S118" i="1"/>
  <c r="K118" i="1"/>
  <c r="AB117" i="1"/>
  <c r="Y117" i="1"/>
  <c r="X117" i="1"/>
  <c r="T117" i="1"/>
  <c r="S117" i="1"/>
  <c r="K117" i="1"/>
  <c r="Y116" i="1"/>
  <c r="X116" i="1"/>
  <c r="T116" i="1"/>
  <c r="S116" i="1"/>
  <c r="Y115" i="1"/>
  <c r="X115" i="1"/>
  <c r="T115" i="1"/>
  <c r="S115" i="1"/>
  <c r="AB114" i="1"/>
  <c r="Y114" i="1"/>
  <c r="X114" i="1"/>
  <c r="T114" i="1"/>
  <c r="S114" i="1"/>
  <c r="K114" i="1"/>
  <c r="AB113" i="1"/>
  <c r="Y113" i="1"/>
  <c r="X113" i="1"/>
  <c r="T113" i="1"/>
  <c r="S113" i="1"/>
  <c r="K113" i="1"/>
  <c r="AB112" i="1"/>
  <c r="Y112" i="1"/>
  <c r="X112" i="1"/>
  <c r="T112" i="1"/>
  <c r="S112" i="1"/>
  <c r="K112" i="1"/>
  <c r="Y111" i="1"/>
  <c r="X111" i="1"/>
  <c r="T111" i="1"/>
  <c r="S111" i="1"/>
  <c r="Y110" i="1"/>
  <c r="X110" i="1"/>
  <c r="T110" i="1"/>
  <c r="S110" i="1"/>
  <c r="AB109" i="1"/>
  <c r="AA109" i="1"/>
  <c r="Y109" i="1"/>
  <c r="X109" i="1"/>
  <c r="T109" i="1"/>
  <c r="S109" i="1"/>
  <c r="K109" i="1"/>
  <c r="AB108" i="1"/>
  <c r="Y108" i="1"/>
  <c r="X108" i="1"/>
  <c r="T108" i="1"/>
  <c r="S108" i="1"/>
  <c r="K108" i="1"/>
  <c r="AB107" i="1"/>
  <c r="Y107" i="1"/>
  <c r="X107" i="1"/>
  <c r="T107" i="1"/>
  <c r="S107" i="1"/>
  <c r="K107" i="1"/>
  <c r="Y106" i="1"/>
  <c r="X106" i="1"/>
  <c r="T106" i="1"/>
  <c r="S106" i="1"/>
  <c r="Y105" i="1"/>
  <c r="X105" i="1"/>
  <c r="T105" i="1"/>
  <c r="S105" i="1"/>
  <c r="AB104" i="1"/>
  <c r="Y104" i="1"/>
  <c r="X104" i="1"/>
  <c r="T104" i="1"/>
  <c r="S104" i="1"/>
  <c r="K104" i="1"/>
  <c r="AB103" i="1"/>
  <c r="Y103" i="1"/>
  <c r="X103" i="1"/>
  <c r="T103" i="1"/>
  <c r="S103" i="1"/>
  <c r="K103" i="1"/>
  <c r="AB102" i="1"/>
  <c r="AA102" i="1"/>
  <c r="Y102" i="1"/>
  <c r="X102" i="1"/>
  <c r="T102" i="1"/>
  <c r="S102" i="1"/>
  <c r="K102" i="1"/>
  <c r="Y101" i="1"/>
  <c r="X101" i="1"/>
  <c r="T101" i="1"/>
  <c r="S101" i="1"/>
  <c r="Y100" i="1"/>
  <c r="X100" i="1"/>
  <c r="T100" i="1"/>
  <c r="S100" i="1"/>
  <c r="AB99" i="1"/>
  <c r="AA99" i="1"/>
  <c r="Y99" i="1"/>
  <c r="X99" i="1"/>
  <c r="T99" i="1"/>
  <c r="S99" i="1"/>
  <c r="K99" i="1"/>
  <c r="AB98" i="1"/>
  <c r="AA98" i="1"/>
  <c r="Y98" i="1"/>
  <c r="X98" i="1"/>
  <c r="T98" i="1"/>
  <c r="S98" i="1"/>
  <c r="K98" i="1"/>
  <c r="AB97" i="1"/>
  <c r="AA97" i="1"/>
  <c r="Y97" i="1"/>
  <c r="X97" i="1"/>
  <c r="T97" i="1"/>
  <c r="S97" i="1"/>
  <c r="K97" i="1"/>
  <c r="Y96" i="1"/>
  <c r="X96" i="1"/>
  <c r="T96" i="1"/>
  <c r="S96" i="1"/>
  <c r="Y95" i="1"/>
  <c r="X95" i="1"/>
  <c r="T95" i="1"/>
  <c r="S95" i="1"/>
  <c r="AB94" i="1"/>
  <c r="AA94" i="1"/>
  <c r="Y94" i="1"/>
  <c r="X94" i="1"/>
  <c r="T94" i="1"/>
  <c r="S94" i="1"/>
  <c r="K94" i="1"/>
  <c r="AB93" i="1"/>
  <c r="AA93" i="1"/>
  <c r="Y93" i="1"/>
  <c r="X93" i="1"/>
  <c r="T93" i="1"/>
  <c r="S93" i="1"/>
  <c r="K93" i="1"/>
  <c r="AB92" i="1"/>
  <c r="AA92" i="1"/>
  <c r="Y92" i="1"/>
  <c r="X92" i="1"/>
  <c r="T92" i="1"/>
  <c r="S92" i="1"/>
  <c r="K92" i="1"/>
  <c r="Y91" i="1"/>
  <c r="X91" i="1"/>
  <c r="T91" i="1"/>
  <c r="S91" i="1"/>
  <c r="Y90" i="1"/>
  <c r="X90" i="1"/>
  <c r="T90" i="1"/>
  <c r="S90" i="1"/>
  <c r="AB89" i="1"/>
  <c r="AA89" i="1"/>
  <c r="Y89" i="1"/>
  <c r="X89" i="1"/>
  <c r="T89" i="1"/>
  <c r="S89" i="1"/>
  <c r="K89" i="1"/>
  <c r="AB88" i="1"/>
  <c r="AA88" i="1"/>
  <c r="Y88" i="1"/>
  <c r="X88" i="1"/>
  <c r="T88" i="1"/>
  <c r="S88" i="1"/>
  <c r="K88" i="1"/>
  <c r="AB87" i="1"/>
  <c r="AA87" i="1"/>
  <c r="Y87" i="1"/>
  <c r="X87" i="1"/>
  <c r="T87" i="1"/>
  <c r="S87" i="1"/>
  <c r="K87" i="1"/>
  <c r="Y86" i="1"/>
  <c r="X86" i="1"/>
  <c r="T86" i="1"/>
  <c r="S86" i="1"/>
  <c r="Y85" i="1"/>
  <c r="X85" i="1"/>
  <c r="T85" i="1"/>
  <c r="S85" i="1"/>
  <c r="AB84" i="1"/>
  <c r="AA84" i="1"/>
  <c r="Y84" i="1"/>
  <c r="X84" i="1"/>
  <c r="T84" i="1"/>
  <c r="S84" i="1"/>
  <c r="K84" i="1"/>
  <c r="AB83" i="1"/>
  <c r="AA83" i="1"/>
  <c r="Y83" i="1"/>
  <c r="X83" i="1"/>
  <c r="T83" i="1"/>
  <c r="S83" i="1"/>
  <c r="K83" i="1"/>
  <c r="AB82" i="1"/>
  <c r="AA82" i="1"/>
  <c r="Y82" i="1"/>
  <c r="X82" i="1"/>
  <c r="T82" i="1"/>
  <c r="S82" i="1"/>
  <c r="K82" i="1"/>
  <c r="Y81" i="1"/>
  <c r="X81" i="1"/>
  <c r="T81" i="1"/>
  <c r="S81" i="1"/>
  <c r="Y80" i="1"/>
  <c r="X80" i="1"/>
  <c r="T80" i="1"/>
  <c r="S80" i="1"/>
  <c r="AB79" i="1"/>
  <c r="AA79" i="1"/>
  <c r="Y79" i="1"/>
  <c r="X79" i="1"/>
  <c r="T79" i="1"/>
  <c r="S79" i="1"/>
  <c r="K79" i="1"/>
  <c r="AB78" i="1"/>
  <c r="AA78" i="1"/>
  <c r="Y78" i="1"/>
  <c r="X78" i="1"/>
  <c r="T78" i="1"/>
  <c r="S78" i="1"/>
  <c r="K78" i="1"/>
  <c r="AB77" i="1"/>
  <c r="AA77" i="1"/>
  <c r="Y77" i="1"/>
  <c r="X77" i="1"/>
  <c r="T77" i="1"/>
  <c r="S77" i="1"/>
  <c r="K77" i="1"/>
  <c r="Y76" i="1"/>
  <c r="X76" i="1"/>
  <c r="T76" i="1"/>
  <c r="S76" i="1"/>
  <c r="Y75" i="1"/>
  <c r="X75" i="1"/>
  <c r="T75" i="1"/>
  <c r="S75" i="1"/>
  <c r="AB74" i="1"/>
  <c r="AA74" i="1"/>
  <c r="Y74" i="1"/>
  <c r="X74" i="1"/>
  <c r="T74" i="1"/>
  <c r="S74" i="1"/>
  <c r="K74" i="1"/>
  <c r="AB73" i="1"/>
  <c r="AA73" i="1"/>
  <c r="Y73" i="1"/>
  <c r="X73" i="1"/>
  <c r="T73" i="1"/>
  <c r="S73" i="1"/>
  <c r="K73" i="1"/>
  <c r="AB72" i="1"/>
  <c r="AA72" i="1"/>
  <c r="Y72" i="1"/>
  <c r="X72" i="1"/>
  <c r="T72" i="1"/>
  <c r="S72" i="1"/>
  <c r="K72" i="1"/>
  <c r="Y71" i="1"/>
  <c r="X71" i="1"/>
  <c r="T71" i="1"/>
  <c r="S71" i="1"/>
  <c r="Y70" i="1"/>
  <c r="X70" i="1"/>
  <c r="T70" i="1"/>
  <c r="S70" i="1"/>
  <c r="AB69" i="1"/>
  <c r="AA69" i="1"/>
  <c r="Y69" i="1"/>
  <c r="X69" i="1"/>
  <c r="T69" i="1"/>
  <c r="S69" i="1"/>
  <c r="K69" i="1"/>
  <c r="AB68" i="1"/>
  <c r="AA68" i="1"/>
  <c r="Y68" i="1"/>
  <c r="X68" i="1"/>
  <c r="T68" i="1"/>
  <c r="S68" i="1"/>
  <c r="K68" i="1"/>
  <c r="AB67" i="1"/>
  <c r="AA67" i="1"/>
  <c r="Y67" i="1"/>
  <c r="X67" i="1"/>
  <c r="T67" i="1"/>
  <c r="S67" i="1"/>
  <c r="K67" i="1"/>
  <c r="Y66" i="1"/>
  <c r="X66" i="1"/>
  <c r="T66" i="1"/>
  <c r="S66" i="1"/>
  <c r="Y65" i="1"/>
  <c r="X65" i="1"/>
  <c r="T65" i="1"/>
  <c r="S65" i="1"/>
  <c r="AB64" i="1"/>
  <c r="AA64" i="1"/>
  <c r="Y64" i="1"/>
  <c r="X64" i="1"/>
  <c r="T64" i="1"/>
  <c r="S64" i="1"/>
  <c r="K64" i="1"/>
  <c r="AB63" i="1"/>
  <c r="AA63" i="1"/>
  <c r="Y63" i="1"/>
  <c r="X63" i="1"/>
  <c r="T63" i="1"/>
  <c r="S63" i="1"/>
  <c r="K63" i="1"/>
  <c r="AB62" i="1"/>
  <c r="AA62" i="1"/>
  <c r="Y62" i="1"/>
  <c r="X62" i="1"/>
  <c r="T62" i="1"/>
  <c r="S62" i="1"/>
  <c r="K62" i="1"/>
  <c r="Y61" i="1"/>
  <c r="X61" i="1"/>
  <c r="T61" i="1"/>
  <c r="S61" i="1"/>
  <c r="Y60" i="1"/>
  <c r="X60" i="1"/>
  <c r="T60" i="1"/>
  <c r="S60" i="1"/>
  <c r="AB59" i="1"/>
  <c r="AA59" i="1"/>
  <c r="Y59" i="1"/>
  <c r="X59" i="1"/>
  <c r="T59" i="1"/>
  <c r="S59" i="1"/>
  <c r="K59" i="1"/>
  <c r="AB58" i="1"/>
  <c r="AA58" i="1"/>
  <c r="Y58" i="1"/>
  <c r="X58" i="1"/>
  <c r="T58" i="1"/>
  <c r="S58" i="1"/>
  <c r="K58" i="1"/>
  <c r="AB57" i="1"/>
  <c r="AA57" i="1"/>
  <c r="Y57" i="1"/>
  <c r="X57" i="1"/>
  <c r="T57" i="1"/>
  <c r="S57" i="1"/>
  <c r="K57" i="1"/>
  <c r="Y56" i="1"/>
  <c r="X56" i="1"/>
  <c r="T56" i="1"/>
  <c r="S56" i="1"/>
  <c r="Y55" i="1"/>
  <c r="X55" i="1"/>
  <c r="T55" i="1"/>
  <c r="S55" i="1"/>
  <c r="AB54" i="1"/>
  <c r="AA54" i="1"/>
  <c r="Y54" i="1"/>
  <c r="X54" i="1"/>
  <c r="T54" i="1"/>
  <c r="S54" i="1"/>
  <c r="K54" i="1"/>
  <c r="AB53" i="1"/>
  <c r="AA53" i="1"/>
  <c r="Y53" i="1"/>
  <c r="X53" i="1"/>
  <c r="T53" i="1"/>
  <c r="S53" i="1"/>
  <c r="K53" i="1"/>
  <c r="AB52" i="1"/>
  <c r="AA52" i="1"/>
  <c r="Y52" i="1"/>
  <c r="X52" i="1"/>
  <c r="T52" i="1"/>
  <c r="S52" i="1"/>
  <c r="K52" i="1"/>
  <c r="Y51" i="1"/>
  <c r="X51" i="1"/>
  <c r="T51" i="1"/>
  <c r="S51" i="1"/>
  <c r="Y50" i="1"/>
  <c r="X50" i="1"/>
  <c r="T50" i="1"/>
  <c r="S50" i="1"/>
  <c r="AB49" i="1"/>
  <c r="AA49" i="1"/>
  <c r="Y49" i="1"/>
  <c r="X49" i="1"/>
  <c r="T49" i="1"/>
  <c r="S49" i="1"/>
  <c r="K49" i="1"/>
  <c r="AB48" i="1"/>
  <c r="AA48" i="1"/>
  <c r="Y48" i="1"/>
  <c r="X48" i="1"/>
  <c r="T48" i="1"/>
  <c r="S48" i="1"/>
  <c r="K48" i="1"/>
  <c r="AB47" i="1"/>
  <c r="AA47" i="1"/>
  <c r="Y47" i="1"/>
  <c r="X47" i="1"/>
  <c r="T47" i="1"/>
  <c r="S47" i="1"/>
  <c r="K47" i="1"/>
  <c r="Y46" i="1"/>
  <c r="X46" i="1"/>
  <c r="T46" i="1"/>
  <c r="S46" i="1"/>
  <c r="Y45" i="1"/>
  <c r="X45" i="1"/>
  <c r="T45" i="1"/>
  <c r="S45" i="1"/>
  <c r="AB44" i="1"/>
  <c r="AA44" i="1"/>
  <c r="Y44" i="1"/>
  <c r="X44" i="1"/>
  <c r="T44" i="1"/>
  <c r="S44" i="1"/>
  <c r="K44" i="1"/>
  <c r="AB43" i="1"/>
  <c r="AA43" i="1"/>
  <c r="Y43" i="1"/>
  <c r="X43" i="1"/>
  <c r="T43" i="1"/>
  <c r="S43" i="1"/>
  <c r="K43" i="1"/>
  <c r="AB42" i="1"/>
  <c r="AA42" i="1"/>
  <c r="Y42" i="1"/>
  <c r="X42" i="1"/>
  <c r="T42" i="1"/>
  <c r="S42" i="1"/>
  <c r="K42" i="1"/>
  <c r="Y41" i="1"/>
  <c r="X41" i="1"/>
  <c r="T41" i="1"/>
  <c r="S41" i="1"/>
  <c r="Y40" i="1"/>
  <c r="X40" i="1"/>
  <c r="T40" i="1"/>
  <c r="S40" i="1"/>
  <c r="AB39" i="1"/>
  <c r="AA39" i="1"/>
  <c r="Y39" i="1"/>
  <c r="X39" i="1"/>
  <c r="T39" i="1"/>
  <c r="S39" i="1"/>
  <c r="K39" i="1"/>
  <c r="AB38" i="1"/>
  <c r="AA38" i="1"/>
  <c r="Y38" i="1"/>
  <c r="X38" i="1"/>
  <c r="T38" i="1"/>
  <c r="S38" i="1"/>
  <c r="K38" i="1"/>
  <c r="AB37" i="1"/>
  <c r="AA37" i="1"/>
  <c r="Y37" i="1"/>
  <c r="X37" i="1"/>
  <c r="T37" i="1"/>
  <c r="S37" i="1"/>
  <c r="K37" i="1"/>
  <c r="Y36" i="1"/>
  <c r="X36" i="1"/>
  <c r="T36" i="1"/>
  <c r="S36" i="1"/>
  <c r="Y35" i="1"/>
  <c r="X35" i="1"/>
  <c r="T35" i="1"/>
  <c r="S35" i="1"/>
  <c r="AB34" i="1"/>
  <c r="AA34" i="1"/>
  <c r="Y34" i="1"/>
  <c r="X34" i="1"/>
  <c r="T34" i="1"/>
  <c r="S34" i="1"/>
  <c r="K34" i="1"/>
  <c r="AB33" i="1"/>
  <c r="AA33" i="1"/>
  <c r="Y33" i="1"/>
  <c r="X33" i="1"/>
  <c r="T33" i="1"/>
  <c r="S33" i="1"/>
  <c r="K33" i="1"/>
  <c r="AB32" i="1"/>
  <c r="AA32" i="1"/>
  <c r="Y32" i="1"/>
  <c r="X32" i="1"/>
  <c r="T32" i="1"/>
  <c r="S32" i="1"/>
  <c r="K32" i="1"/>
  <c r="Y31" i="1"/>
  <c r="X31" i="1"/>
  <c r="T31" i="1"/>
  <c r="S31" i="1"/>
  <c r="Y30" i="1"/>
  <c r="X30" i="1"/>
  <c r="T30" i="1"/>
  <c r="S30" i="1"/>
  <c r="AB29" i="1"/>
  <c r="AA29" i="1"/>
  <c r="Y29" i="1"/>
  <c r="X29" i="1"/>
  <c r="T29" i="1"/>
  <c r="S29" i="1"/>
  <c r="K29" i="1"/>
  <c r="AB28" i="1"/>
  <c r="AA28" i="1"/>
  <c r="Y28" i="1"/>
  <c r="X28" i="1"/>
  <c r="T28" i="1"/>
  <c r="S28" i="1"/>
  <c r="K28" i="1"/>
  <c r="AB27" i="1"/>
  <c r="AA27" i="1"/>
  <c r="Y27" i="1"/>
  <c r="X27" i="1"/>
  <c r="T27" i="1"/>
  <c r="S27" i="1"/>
  <c r="K27" i="1"/>
  <c r="Y26" i="1"/>
  <c r="X26" i="1"/>
  <c r="T26" i="1"/>
  <c r="S26" i="1"/>
  <c r="Y25" i="1"/>
  <c r="X25" i="1"/>
  <c r="T25" i="1"/>
  <c r="S25" i="1"/>
  <c r="AB24" i="1"/>
  <c r="AA24" i="1"/>
  <c r="Y24" i="1"/>
  <c r="X24" i="1"/>
  <c r="T24" i="1"/>
  <c r="S24" i="1"/>
  <c r="K24" i="1"/>
  <c r="AB23" i="1"/>
  <c r="AA23" i="1"/>
  <c r="Y23" i="1"/>
  <c r="X23" i="1"/>
  <c r="T23" i="1"/>
  <c r="S23" i="1"/>
  <c r="K23" i="1"/>
  <c r="AB22" i="1"/>
  <c r="AA22" i="1"/>
  <c r="Y22" i="1"/>
  <c r="X22" i="1"/>
  <c r="T22" i="1"/>
  <c r="S22" i="1"/>
  <c r="K22" i="1"/>
  <c r="Y21" i="1"/>
  <c r="X21" i="1"/>
  <c r="T21" i="1"/>
  <c r="S21" i="1"/>
  <c r="Y20" i="1"/>
  <c r="X20" i="1"/>
  <c r="T20" i="1"/>
  <c r="S20" i="1"/>
  <c r="AB19" i="1"/>
  <c r="AA19" i="1"/>
  <c r="Y19" i="1"/>
  <c r="X19" i="1"/>
  <c r="T19" i="1"/>
  <c r="S19" i="1"/>
  <c r="K19" i="1"/>
  <c r="AB18" i="1"/>
  <c r="AA18" i="1"/>
  <c r="Y18" i="1"/>
  <c r="X18" i="1"/>
  <c r="T18" i="1"/>
  <c r="S18" i="1"/>
  <c r="K18" i="1"/>
  <c r="AB17" i="1"/>
  <c r="AA17" i="1"/>
  <c r="Y17" i="1"/>
  <c r="X17" i="1"/>
  <c r="T17" i="1"/>
  <c r="S17" i="1"/>
  <c r="K17" i="1"/>
  <c r="Y16" i="1"/>
  <c r="X16" i="1"/>
  <c r="T16" i="1"/>
  <c r="S16" i="1"/>
  <c r="Y15" i="1"/>
  <c r="X15" i="1"/>
  <c r="T15" i="1"/>
  <c r="S15" i="1"/>
  <c r="AB14" i="1"/>
  <c r="AA14" i="1"/>
  <c r="Y14" i="1"/>
  <c r="X14" i="1"/>
  <c r="T14" i="1"/>
  <c r="S14" i="1"/>
  <c r="K14" i="1"/>
  <c r="AB13" i="1"/>
  <c r="AA13" i="1"/>
  <c r="Y13" i="1"/>
  <c r="X13" i="1"/>
  <c r="T13" i="1"/>
  <c r="S13" i="1"/>
  <c r="K13" i="1"/>
  <c r="AB12" i="1"/>
  <c r="AA12" i="1"/>
  <c r="Y12" i="1"/>
  <c r="X12" i="1"/>
  <c r="T12" i="1"/>
  <c r="S12" i="1"/>
  <c r="K12" i="1"/>
  <c r="Y11" i="1"/>
  <c r="X11" i="1"/>
  <c r="T11" i="1"/>
  <c r="S11" i="1"/>
  <c r="Y10" i="1"/>
  <c r="X10" i="1"/>
  <c r="T10" i="1"/>
  <c r="S10" i="1"/>
  <c r="AB9" i="1"/>
  <c r="AA9" i="1"/>
  <c r="Y9" i="1"/>
  <c r="X9" i="1"/>
  <c r="T9" i="1"/>
  <c r="S9" i="1"/>
  <c r="K9" i="1"/>
  <c r="AB8" i="1"/>
  <c r="AA8" i="1"/>
  <c r="Y8" i="1"/>
  <c r="X8" i="1"/>
  <c r="T8" i="1"/>
  <c r="S8" i="1"/>
  <c r="K8" i="1"/>
  <c r="AB7" i="1"/>
  <c r="AA7" i="1"/>
  <c r="Y7" i="1"/>
  <c r="X7" i="1"/>
  <c r="T7" i="1"/>
  <c r="S7" i="1"/>
  <c r="K7" i="1"/>
  <c r="Y6" i="1"/>
  <c r="X6" i="1"/>
  <c r="T6" i="1"/>
  <c r="S6" i="1"/>
  <c r="Y5" i="1"/>
  <c r="X5" i="1"/>
  <c r="T5" i="1"/>
  <c r="S5" i="1"/>
  <c r="AB4" i="1"/>
  <c r="AA4" i="1"/>
  <c r="Y4" i="1"/>
  <c r="X4" i="1"/>
  <c r="T4" i="1"/>
  <c r="S4" i="1"/>
  <c r="K4" i="1"/>
  <c r="AB3" i="1"/>
  <c r="AA3" i="1"/>
  <c r="Y3" i="1"/>
  <c r="X3" i="1"/>
  <c r="T3" i="1"/>
  <c r="S3" i="1"/>
  <c r="K3" i="1"/>
  <c r="AB2" i="1"/>
  <c r="AA2" i="1"/>
  <c r="Y2" i="1"/>
  <c r="X2" i="1"/>
  <c r="T2" i="1"/>
  <c r="S2" i="1"/>
  <c r="K2" i="1"/>
</calcChain>
</file>

<file path=xl/sharedStrings.xml><?xml version="1.0" encoding="utf-8"?>
<sst xmlns="http://schemas.openxmlformats.org/spreadsheetml/2006/main" count="628" uniqueCount="232">
  <si>
    <t>CO2</t>
  </si>
  <si>
    <t>replication</t>
  </si>
  <si>
    <t>nitrogen/ppm</t>
  </si>
  <si>
    <t>species</t>
  </si>
  <si>
    <t>tree ID</t>
  </si>
  <si>
    <t>A400</t>
  </si>
  <si>
    <t>A at treatment CO2</t>
  </si>
  <si>
    <t>Ci at treatment CO2</t>
  </si>
  <si>
    <t>gs at treatment CO2</t>
  </si>
  <si>
    <t>E at treatment CO2</t>
  </si>
  <si>
    <t>WUE at treatment CO2</t>
  </si>
  <si>
    <t>Vcmax</t>
  </si>
  <si>
    <t>Jmax</t>
  </si>
  <si>
    <t>Rd</t>
  </si>
  <si>
    <t>root mass(g)</t>
  </si>
  <si>
    <t>stem mass(g)</t>
  </si>
  <si>
    <t>leaf mass(g)</t>
  </si>
  <si>
    <t>leaf+petiole(g)</t>
  </si>
  <si>
    <t>shoot mass</t>
  </si>
  <si>
    <t>total mass</t>
  </si>
  <si>
    <t>height(cm)</t>
  </si>
  <si>
    <t>RCD(mm)</t>
  </si>
  <si>
    <t>shoot/root</t>
  </si>
  <si>
    <r>
      <rPr>
        <b/>
        <sz val="11"/>
        <color theme="1"/>
        <rFont val="Times New Roman"/>
        <family val="1"/>
      </rPr>
      <t>Nitrogen</t>
    </r>
    <r>
      <rPr>
        <b/>
        <sz val="11"/>
        <color theme="1"/>
        <rFont val="宋体"/>
        <charset val="134"/>
      </rPr>
      <t>（</t>
    </r>
    <r>
      <rPr>
        <b/>
        <sz val="11"/>
        <color theme="1"/>
        <rFont val="Times New Roman"/>
        <family val="1"/>
      </rPr>
      <t>%</t>
    </r>
    <r>
      <rPr>
        <b/>
        <sz val="11"/>
        <color theme="1"/>
        <rFont val="宋体"/>
        <charset val="134"/>
      </rPr>
      <t>）</t>
    </r>
  </si>
  <si>
    <t>N(g/m2)</t>
  </si>
  <si>
    <t>N（mg/g）</t>
  </si>
  <si>
    <t>elevated</t>
  </si>
  <si>
    <t>white birch</t>
  </si>
  <si>
    <t>b2t1-06</t>
  </si>
  <si>
    <t>b2t1-10</t>
  </si>
  <si>
    <t>b2t1-11</t>
  </si>
  <si>
    <t>2b-t1-05</t>
  </si>
  <si>
    <t>2b-t1-12</t>
  </si>
  <si>
    <t>b3t1-05</t>
  </si>
  <si>
    <t>b3t1-11</t>
  </si>
  <si>
    <t>b3t1-12</t>
  </si>
  <si>
    <t>3b-t1-04</t>
  </si>
  <si>
    <t>3b-t1-07</t>
  </si>
  <si>
    <t>b2t2-01</t>
  </si>
  <si>
    <t>b2t2-03</t>
  </si>
  <si>
    <t>b2t2-07</t>
  </si>
  <si>
    <t>2b-t2-02</t>
  </si>
  <si>
    <t>2b-t2-10</t>
  </si>
  <si>
    <t>b3t2-03</t>
  </si>
  <si>
    <t>b3t2-09</t>
  </si>
  <si>
    <t>b3t2-12</t>
  </si>
  <si>
    <t>3b-t2-01</t>
  </si>
  <si>
    <t>3b-t2-04</t>
  </si>
  <si>
    <t>b2t3-02</t>
  </si>
  <si>
    <t>b2t3-03</t>
  </si>
  <si>
    <t>b2t3-07</t>
  </si>
  <si>
    <t>2b-t3-09</t>
  </si>
  <si>
    <t>2b-t3-12</t>
  </si>
  <si>
    <t>b3t3-01</t>
  </si>
  <si>
    <t>b3t3-09</t>
  </si>
  <si>
    <t>b3t3-11</t>
  </si>
  <si>
    <t>3b-t3-02</t>
  </si>
  <si>
    <t>3b-t3-04</t>
  </si>
  <si>
    <t>b2t4-02</t>
  </si>
  <si>
    <t>b2t4-11</t>
  </si>
  <si>
    <t>b2t4-12</t>
  </si>
  <si>
    <t>2b-t4-06</t>
  </si>
  <si>
    <t>2b-t4-07</t>
  </si>
  <si>
    <t>b3t4-04</t>
  </si>
  <si>
    <t>b3t4-08</t>
  </si>
  <si>
    <t>b3t4-12</t>
  </si>
  <si>
    <t>3b-t4-05</t>
  </si>
  <si>
    <t>3b-t4-09</t>
  </si>
  <si>
    <t>b2t5-03</t>
  </si>
  <si>
    <t>b2t5-05</t>
  </si>
  <si>
    <t>b2t5-12</t>
  </si>
  <si>
    <t>2b-t5-02</t>
  </si>
  <si>
    <t>2b-t5-09</t>
  </si>
  <si>
    <t>b3t5-10</t>
  </si>
  <si>
    <t>b3t5-11</t>
  </si>
  <si>
    <t>b3t5-12</t>
  </si>
  <si>
    <t>3b-t5-01</t>
  </si>
  <si>
    <t>3b-t5-05</t>
  </si>
  <si>
    <t>ambient</t>
  </si>
  <si>
    <t>b4t1-04</t>
  </si>
  <si>
    <t>b4t1-05</t>
  </si>
  <si>
    <t>b4t1-11</t>
  </si>
  <si>
    <t>4b-t1-08</t>
  </si>
  <si>
    <t>4b-t1-12</t>
  </si>
  <si>
    <t>b5t1-01</t>
  </si>
  <si>
    <t>b5t1-03</t>
  </si>
  <si>
    <t>b5t1-10</t>
  </si>
  <si>
    <t>5b-t1-08</t>
  </si>
  <si>
    <t>5b-t1-12</t>
  </si>
  <si>
    <t>b4t2-03</t>
  </si>
  <si>
    <t>b4t2-09</t>
  </si>
  <si>
    <t>b4t2-12</t>
  </si>
  <si>
    <t>4b-t2-04</t>
  </si>
  <si>
    <t>4b-t2-06</t>
  </si>
  <si>
    <t>b5t2-01</t>
  </si>
  <si>
    <t>b5t2-02</t>
  </si>
  <si>
    <t>b5t2-11</t>
  </si>
  <si>
    <t>5b-t2-07</t>
  </si>
  <si>
    <t>5b-t2-10</t>
  </si>
  <si>
    <t>b4t3-07</t>
  </si>
  <si>
    <t>b4t3-11</t>
  </si>
  <si>
    <t>b4t3-12</t>
  </si>
  <si>
    <t>4b-t3-03</t>
  </si>
  <si>
    <t>4b-t3-06</t>
  </si>
  <si>
    <t>b5t3-08</t>
  </si>
  <si>
    <t>b5t3-09</t>
  </si>
  <si>
    <t>b5t3-12</t>
  </si>
  <si>
    <t>5b-t3-05</t>
  </si>
  <si>
    <t>5b-t3-11</t>
  </si>
  <si>
    <t>b4t4-03</t>
  </si>
  <si>
    <t>b4t4-08</t>
  </si>
  <si>
    <t>b4t4-10</t>
  </si>
  <si>
    <t>4b-t4-01</t>
  </si>
  <si>
    <t>4b-t4-06</t>
  </si>
  <si>
    <t>b5t4-03</t>
  </si>
  <si>
    <t>b5t4-04</t>
  </si>
  <si>
    <t>b5t4-06</t>
  </si>
  <si>
    <t>5b-t4-01</t>
  </si>
  <si>
    <t>5b-t4-05</t>
  </si>
  <si>
    <t>b4t5-01</t>
  </si>
  <si>
    <t>b4t5-05</t>
  </si>
  <si>
    <t>b4t5-10</t>
  </si>
  <si>
    <t>4b-t5-02</t>
  </si>
  <si>
    <t>4b-t5-08</t>
  </si>
  <si>
    <t>b5t5-07</t>
  </si>
  <si>
    <t>b5t5-09</t>
  </si>
  <si>
    <t>b5t5-10</t>
  </si>
  <si>
    <t>5b-t5-05</t>
  </si>
  <si>
    <t>5b-t5-11</t>
  </si>
  <si>
    <t>yellow birch</t>
  </si>
  <si>
    <t>f2t1-03</t>
  </si>
  <si>
    <t>f2t1-09</t>
  </si>
  <si>
    <t>f2t1-12</t>
  </si>
  <si>
    <t>2f-t1-02</t>
  </si>
  <si>
    <t>2f-t1-05</t>
  </si>
  <si>
    <t>f3t1-02</t>
  </si>
  <si>
    <t>f3t1-04</t>
  </si>
  <si>
    <t>f3t1-05</t>
  </si>
  <si>
    <t>3f-t1-06</t>
  </si>
  <si>
    <t>3f-t1-07</t>
  </si>
  <si>
    <t>f2t2-05</t>
  </si>
  <si>
    <t>f2t2-09</t>
  </si>
  <si>
    <t>f2t2-12</t>
  </si>
  <si>
    <t>2f-t2-08</t>
  </si>
  <si>
    <t>2f-t2-10</t>
  </si>
  <si>
    <t>f3t2-04</t>
  </si>
  <si>
    <t>f3t2-06</t>
  </si>
  <si>
    <t>f3t2-12</t>
  </si>
  <si>
    <t>3f-t2-01</t>
  </si>
  <si>
    <t>3f-t2-08</t>
  </si>
  <si>
    <t>f2t3-05</t>
  </si>
  <si>
    <t>f2t3-11</t>
  </si>
  <si>
    <t>f2t3-12</t>
  </si>
  <si>
    <t>2f-t3-07</t>
  </si>
  <si>
    <t>2f-t3-08</t>
  </si>
  <si>
    <t>f3t3-06</t>
  </si>
  <si>
    <t>f3t3-07</t>
  </si>
  <si>
    <t>f3t3-11</t>
  </si>
  <si>
    <t>3f-t3-04</t>
  </si>
  <si>
    <t>3f-t3-05</t>
  </si>
  <si>
    <t>f2t4-02</t>
  </si>
  <si>
    <t>f2t4-08</t>
  </si>
  <si>
    <t>f2t4-11</t>
  </si>
  <si>
    <t>2f-t4-04</t>
  </si>
  <si>
    <t>2f-t4-05</t>
  </si>
  <si>
    <t>f3t4-03</t>
  </si>
  <si>
    <t>f3t4-06</t>
  </si>
  <si>
    <t>f3t4-10</t>
  </si>
  <si>
    <t>3f-t4-01</t>
  </si>
  <si>
    <t>3f-t4-04</t>
  </si>
  <si>
    <t>f2t5-01</t>
  </si>
  <si>
    <t>f2t5-02</t>
  </si>
  <si>
    <t>f2t5-10</t>
  </si>
  <si>
    <t>2f-t5-07</t>
  </si>
  <si>
    <t>2f-t5-09</t>
  </si>
  <si>
    <t>f3t5-03</t>
  </si>
  <si>
    <t>f3t5-09</t>
  </si>
  <si>
    <t>f3t5-11</t>
  </si>
  <si>
    <t>3f-t5-08</t>
  </si>
  <si>
    <t>3f-t5-12</t>
  </si>
  <si>
    <t>f4t1-02</t>
  </si>
  <si>
    <t>f4t1-04</t>
  </si>
  <si>
    <t>f4t1-07</t>
  </si>
  <si>
    <t>4f-t1-08</t>
  </si>
  <si>
    <t>4f-t1-12</t>
  </si>
  <si>
    <t>f5t1-04</t>
  </si>
  <si>
    <t>f5t1-06</t>
  </si>
  <si>
    <t>f5t1-10</t>
  </si>
  <si>
    <t>5f-t1-01</t>
  </si>
  <si>
    <t>5f-t1-03</t>
  </si>
  <si>
    <t>f4t2-05</t>
  </si>
  <si>
    <t>f4t2-08</t>
  </si>
  <si>
    <t>f4t2-10</t>
  </si>
  <si>
    <t>4f-t2-04</t>
  </si>
  <si>
    <t>4f-t2-12</t>
  </si>
  <si>
    <t>f5t2-02</t>
  </si>
  <si>
    <t>f5t2-08</t>
  </si>
  <si>
    <t>f5t2-12</t>
  </si>
  <si>
    <t>5f-t2-03</t>
  </si>
  <si>
    <t>5f-t2-05</t>
  </si>
  <si>
    <t>f4t3-03</t>
  </si>
  <si>
    <t>f4t3-04</t>
  </si>
  <si>
    <t>f4t3-09</t>
  </si>
  <si>
    <t>4f-t3-01</t>
  </si>
  <si>
    <t>4f-t3-12</t>
  </si>
  <si>
    <t>f5t3-05</t>
  </si>
  <si>
    <t>f5t3-09</t>
  </si>
  <si>
    <t>f5t3-12</t>
  </si>
  <si>
    <t>5f-t3-03</t>
  </si>
  <si>
    <t>5f-t3-10</t>
  </si>
  <si>
    <t>f4t4-06</t>
  </si>
  <si>
    <t>f4t4-07</t>
  </si>
  <si>
    <t>f4t4-09</t>
  </si>
  <si>
    <t>4f-t4-01</t>
  </si>
  <si>
    <t>4f-t4-04</t>
  </si>
  <si>
    <t>f5t4-05</t>
  </si>
  <si>
    <t>f5t4-06</t>
  </si>
  <si>
    <t>f5t4-09</t>
  </si>
  <si>
    <t>5f-t4-07</t>
  </si>
  <si>
    <t>5f-t4-08</t>
  </si>
  <si>
    <t>f4t5-03</t>
  </si>
  <si>
    <t>f4t5-07</t>
  </si>
  <si>
    <t>f4t5-09</t>
  </si>
  <si>
    <t>4f-t5-08</t>
  </si>
  <si>
    <t>4f-t5-10</t>
  </si>
  <si>
    <t>f5t5-06</t>
  </si>
  <si>
    <t>f5t5-09</t>
  </si>
  <si>
    <t>f5t5-10</t>
  </si>
  <si>
    <t>5f-t5-02</t>
  </si>
  <si>
    <t>5f-t5-08</t>
  </si>
  <si>
    <t>leaf.area(cm2)</t>
  </si>
  <si>
    <t>SLAcm2/g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</si>
</sst>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6" formatCode="0.00_);[Red]\(0.00\)"/>
    <numFmt numFmtId="167" formatCode="0.0000_ "/>
    <numFmt numFmtId="168" formatCode="0.00_ "/>
    <numFmt numFmtId="169" formatCode="0.0_ "/>
  </numFmts>
  <fonts count="12">
    <font>
      <sz val="11"/>
      <color theme="1"/>
      <name val="Calibri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C00000"/>
      <name val="Calibri"/>
      <charset val="134"/>
      <scheme val="minor"/>
    </font>
    <font>
      <sz val="11"/>
      <color rgb="FF000000"/>
      <name val="Times New Roman"/>
      <family val="1"/>
    </font>
    <font>
      <b/>
      <sz val="11"/>
      <color rgb="FFC00000"/>
      <name val="Calibri"/>
      <charset val="134"/>
      <scheme val="minor"/>
    </font>
    <font>
      <sz val="8"/>
      <color rgb="FFFF0000"/>
      <name val="Lucida Console"/>
      <family val="2"/>
    </font>
    <font>
      <sz val="11"/>
      <color rgb="FFFF0000"/>
      <name val="Times New Roman"/>
      <family val="1"/>
    </font>
    <font>
      <sz val="8"/>
      <color rgb="FF000000"/>
      <name val="Lucida Console"/>
      <family val="2"/>
    </font>
    <font>
      <sz val="11"/>
      <color rgb="FFFF0000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1"/>
      <color theme="1"/>
      <name val="宋体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1" fillId="0" borderId="0" xfId="0" applyFont="1" applyAlignment="1"/>
    <xf numFmtId="0" fontId="2" fillId="0" borderId="0" xfId="0" applyFont="1" applyAlignment="1"/>
    <xf numFmtId="0" fontId="2" fillId="0" borderId="0" xfId="0" applyFont="1" applyAlignment="1">
      <alignment horizontal="center"/>
    </xf>
    <xf numFmtId="166" fontId="2" fillId="0" borderId="0" xfId="0" applyNumberFormat="1" applyFont="1" applyAlignment="1"/>
    <xf numFmtId="0" fontId="2" fillId="0" borderId="0" xfId="0" applyFont="1">
      <alignment vertical="center"/>
    </xf>
    <xf numFmtId="0" fontId="3" fillId="0" borderId="0" xfId="0" applyFont="1">
      <alignment vertical="center"/>
    </xf>
    <xf numFmtId="167" fontId="3" fillId="0" borderId="0" xfId="0" applyNumberFormat="1" applyFont="1">
      <alignment vertical="center"/>
    </xf>
    <xf numFmtId="0" fontId="3" fillId="0" borderId="0" xfId="0" applyFont="1" applyAlignment="1"/>
    <xf numFmtId="0" fontId="1" fillId="0" borderId="0" xfId="0" applyFont="1" applyAlignment="1">
      <alignment horizontal="center"/>
    </xf>
    <xf numFmtId="166" fontId="1" fillId="0" borderId="0" xfId="0" applyNumberFormat="1" applyFont="1">
      <alignment vertical="center"/>
    </xf>
    <xf numFmtId="166" fontId="2" fillId="0" borderId="0" xfId="0" applyNumberFormat="1" applyFont="1">
      <alignment vertical="center"/>
    </xf>
    <xf numFmtId="166" fontId="4" fillId="0" borderId="0" xfId="0" applyNumberFormat="1" applyFont="1">
      <alignment vertical="center"/>
    </xf>
    <xf numFmtId="166" fontId="1" fillId="0" borderId="0" xfId="0" applyNumberFormat="1" applyFont="1" applyAlignment="1"/>
    <xf numFmtId="0" fontId="1" fillId="0" borderId="0" xfId="0" applyFont="1">
      <alignment vertical="center"/>
    </xf>
    <xf numFmtId="166" fontId="0" fillId="0" borderId="0" xfId="0" applyNumberFormat="1" applyAlignment="1"/>
    <xf numFmtId="0" fontId="5" fillId="0" borderId="0" xfId="0" applyFont="1">
      <alignment vertical="center"/>
    </xf>
    <xf numFmtId="168" fontId="2" fillId="0" borderId="0" xfId="0" applyNumberFormat="1" applyFont="1">
      <alignment vertical="center"/>
    </xf>
    <xf numFmtId="169" fontId="2" fillId="0" borderId="0" xfId="0" applyNumberFormat="1" applyFont="1">
      <alignment vertical="center"/>
    </xf>
    <xf numFmtId="167" fontId="5" fillId="0" borderId="0" xfId="0" applyNumberFormat="1" applyFont="1">
      <alignment vertical="center"/>
    </xf>
    <xf numFmtId="0" fontId="5" fillId="0" borderId="0" xfId="0" applyFont="1" applyAlignment="1"/>
    <xf numFmtId="0" fontId="2" fillId="2" borderId="0" xfId="0" applyFont="1" applyFill="1">
      <alignment vertical="center"/>
    </xf>
    <xf numFmtId="166" fontId="6" fillId="0" borderId="0" xfId="0" applyNumberFormat="1" applyFont="1">
      <alignment vertical="center"/>
    </xf>
    <xf numFmtId="166" fontId="7" fillId="0" borderId="0" xfId="0" applyNumberFormat="1" applyFont="1" applyAlignment="1"/>
    <xf numFmtId="166" fontId="8" fillId="0" borderId="0" xfId="0" applyNumberFormat="1" applyFont="1">
      <alignment vertical="center"/>
    </xf>
    <xf numFmtId="167" fontId="2" fillId="0" borderId="0" xfId="0" applyNumberFormat="1" applyFont="1">
      <alignment vertical="center"/>
    </xf>
    <xf numFmtId="166" fontId="7" fillId="0" borderId="0" xfId="0" applyNumberFormat="1" applyFont="1">
      <alignment vertical="center"/>
    </xf>
    <xf numFmtId="166" fontId="9" fillId="0" borderId="0" xfId="0" applyNumberFormat="1" applyFont="1">
      <alignment vertical="center"/>
    </xf>
    <xf numFmtId="166" fontId="2" fillId="3" borderId="0" xfId="0" applyNumberFormat="1" applyFont="1" applyFill="1">
      <alignment vertical="center"/>
    </xf>
    <xf numFmtId="166" fontId="10" fillId="0" borderId="0" xfId="0" applyNumberFormat="1" applyFo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01"/>
  <sheetViews>
    <sheetView tabSelected="1" topLeftCell="D1" workbookViewId="0">
      <selection activeCell="L12" sqref="L12"/>
    </sheetView>
  </sheetViews>
  <sheetFormatPr baseColWidth="10" defaultColWidth="10.1640625" defaultRowHeight="15"/>
  <cols>
    <col min="1" max="2" width="10.1640625" style="2"/>
    <col min="3" max="3" width="10.1640625" style="3"/>
    <col min="4" max="5" width="10.1640625" style="2"/>
    <col min="6" max="14" width="10.1640625" style="4"/>
    <col min="15" max="18" width="10.1640625" style="5"/>
    <col min="19" max="19" width="10.1640625" style="6"/>
    <col min="20" max="23" width="10.1640625" style="5"/>
    <col min="24" max="24" width="12.83203125" style="5"/>
    <col min="25" max="25" width="10.1640625" style="7"/>
    <col min="26" max="27" width="10.1640625" style="5"/>
    <col min="28" max="28" width="10.1640625" style="8"/>
    <col min="29" max="16384" width="10.1640625" style="2"/>
  </cols>
  <sheetData>
    <row r="1" spans="1:28" s="1" customFormat="1">
      <c r="A1" s="1" t="s">
        <v>0</v>
      </c>
      <c r="B1" s="1" t="s">
        <v>1</v>
      </c>
      <c r="C1" s="9" t="s">
        <v>2</v>
      </c>
      <c r="D1" s="1" t="s">
        <v>3</v>
      </c>
      <c r="E1" s="1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4" t="s">
        <v>14</v>
      </c>
      <c r="P1" s="14" t="s">
        <v>15</v>
      </c>
      <c r="Q1" s="14" t="s">
        <v>16</v>
      </c>
      <c r="R1" s="14" t="s">
        <v>17</v>
      </c>
      <c r="S1" s="16" t="s">
        <v>18</v>
      </c>
      <c r="T1" s="14" t="s">
        <v>19</v>
      </c>
      <c r="U1" s="14" t="s">
        <v>230</v>
      </c>
      <c r="V1" s="14" t="s">
        <v>20</v>
      </c>
      <c r="W1" s="14" t="s">
        <v>21</v>
      </c>
      <c r="X1" s="14" t="s">
        <v>231</v>
      </c>
      <c r="Y1" s="19" t="s">
        <v>22</v>
      </c>
      <c r="Z1" s="14" t="s">
        <v>23</v>
      </c>
      <c r="AA1" s="14" t="s">
        <v>24</v>
      </c>
      <c r="AB1" s="20" t="s">
        <v>25</v>
      </c>
    </row>
    <row r="2" spans="1:28">
      <c r="A2" s="2" t="s">
        <v>26</v>
      </c>
      <c r="B2" s="2">
        <v>1</v>
      </c>
      <c r="C2" s="3">
        <v>10</v>
      </c>
      <c r="D2" s="2" t="s">
        <v>27</v>
      </c>
      <c r="E2" s="2" t="s">
        <v>28</v>
      </c>
      <c r="F2" s="11">
        <v>8.1333333333333293</v>
      </c>
      <c r="G2" s="11">
        <v>13.633333333333301</v>
      </c>
      <c r="H2" s="11">
        <v>643.66666666666697</v>
      </c>
      <c r="I2" s="11">
        <v>332.33333333333297</v>
      </c>
      <c r="J2" s="12">
        <v>4.4366669999999999</v>
      </c>
      <c r="K2" s="12">
        <f>G2/J2</f>
        <v>3.0728773048176299</v>
      </c>
      <c r="L2" s="4">
        <v>40.201323000000002</v>
      </c>
      <c r="M2" s="4">
        <v>92.632733999999999</v>
      </c>
      <c r="N2" s="4">
        <v>1.7554860000000001</v>
      </c>
      <c r="O2" s="5">
        <v>1.125</v>
      </c>
      <c r="P2" s="5">
        <v>0.23699999999999999</v>
      </c>
      <c r="Q2" s="5">
        <v>0.51200000000000001</v>
      </c>
      <c r="R2" s="5">
        <v>0.53400000000000003</v>
      </c>
      <c r="S2" s="6">
        <f>P2+R2</f>
        <v>0.77100000000000002</v>
      </c>
      <c r="T2" s="5">
        <f>O2+P2+R2</f>
        <v>1.8959999999999999</v>
      </c>
      <c r="U2" s="5">
        <v>114.0476</v>
      </c>
      <c r="V2" s="5">
        <v>7.8</v>
      </c>
      <c r="W2" s="5">
        <v>3.2250000000000001</v>
      </c>
      <c r="X2" s="5">
        <f>U2/Q2</f>
        <v>222.74921875000001</v>
      </c>
      <c r="Y2" s="7">
        <f>(P2+R2)/O2</f>
        <v>0.68533333333333302</v>
      </c>
      <c r="Z2" s="5">
        <v>1.31</v>
      </c>
      <c r="AA2" s="5">
        <f>Q2*Z2*100/U2</f>
        <v>0.58810531742886296</v>
      </c>
      <c r="AB2" s="8">
        <f>Z2*10</f>
        <v>13.1</v>
      </c>
    </row>
    <row r="3" spans="1:28">
      <c r="A3" s="2" t="s">
        <v>26</v>
      </c>
      <c r="B3" s="2">
        <v>1</v>
      </c>
      <c r="C3" s="3">
        <v>10</v>
      </c>
      <c r="D3" s="2" t="s">
        <v>27</v>
      </c>
      <c r="E3" s="2" t="s">
        <v>29</v>
      </c>
      <c r="F3" s="11">
        <v>12.5666666666667</v>
      </c>
      <c r="G3" s="11">
        <v>20.399999999999999</v>
      </c>
      <c r="H3" s="11">
        <v>629</v>
      </c>
      <c r="I3" s="11">
        <v>560.66666666666697</v>
      </c>
      <c r="J3" s="12">
        <v>6.0133330000000003</v>
      </c>
      <c r="K3" s="12">
        <f t="shared" ref="K3:K64" si="0">G3/J3</f>
        <v>3.3924613853914298</v>
      </c>
      <c r="L3" s="4">
        <v>67.487781999999996</v>
      </c>
      <c r="M3" s="4">
        <v>147.82458500000001</v>
      </c>
      <c r="N3" s="4">
        <v>2.5306489999999999</v>
      </c>
      <c r="O3" s="5">
        <v>0.97499999999999998</v>
      </c>
      <c r="P3" s="5">
        <v>0.22800000000000001</v>
      </c>
      <c r="Q3" s="5">
        <v>0.27900000000000003</v>
      </c>
      <c r="R3" s="5">
        <v>0.29699999999999999</v>
      </c>
      <c r="S3" s="6">
        <f>P3+R3</f>
        <v>0.52500000000000002</v>
      </c>
      <c r="T3" s="5">
        <f>O3+P3+R3</f>
        <v>1.5</v>
      </c>
      <c r="U3" s="5">
        <v>80.233599999999996</v>
      </c>
      <c r="V3" s="5">
        <v>7.5</v>
      </c>
      <c r="W3" s="5">
        <v>3.1150000000000002</v>
      </c>
      <c r="X3" s="5">
        <f t="shared" ref="X3:X66" si="1">U3/Q3</f>
        <v>287.57562724014298</v>
      </c>
      <c r="Y3" s="7">
        <f t="shared" ref="Y3:Y66" si="2">(P3+R3)/O3</f>
        <v>0.53846153846153799</v>
      </c>
      <c r="Z3" s="5">
        <v>2.44</v>
      </c>
      <c r="AA3" s="5">
        <f>Q3*Z3*100/U3</f>
        <v>0.84847246041558699</v>
      </c>
      <c r="AB3" s="8">
        <f t="shared" ref="AB3:AB34" si="3">Z3*10</f>
        <v>24.4</v>
      </c>
    </row>
    <row r="4" spans="1:28">
      <c r="A4" s="2" t="s">
        <v>26</v>
      </c>
      <c r="B4" s="2">
        <v>1</v>
      </c>
      <c r="C4" s="3">
        <v>10</v>
      </c>
      <c r="D4" s="2" t="s">
        <v>27</v>
      </c>
      <c r="E4" s="2" t="s">
        <v>30</v>
      </c>
      <c r="F4" s="12">
        <v>7.1333330000000004</v>
      </c>
      <c r="G4" s="12">
        <v>11.366669999999999</v>
      </c>
      <c r="H4" s="12">
        <v>659.33330000000001</v>
      </c>
      <c r="I4" s="12">
        <v>362</v>
      </c>
      <c r="J4" s="12">
        <v>5.98</v>
      </c>
      <c r="K4" s="12">
        <f t="shared" si="0"/>
        <v>1.90078093645485</v>
      </c>
      <c r="L4" s="4">
        <v>41.575029999999998</v>
      </c>
      <c r="M4" s="4">
        <v>69.805800000000005</v>
      </c>
      <c r="N4" s="4">
        <v>1.573054</v>
      </c>
      <c r="O4" s="5">
        <v>1.726</v>
      </c>
      <c r="P4" s="5">
        <v>0.56000000000000005</v>
      </c>
      <c r="Q4" s="5">
        <v>0.76100000000000001</v>
      </c>
      <c r="R4" s="5">
        <v>0.79400000000000004</v>
      </c>
      <c r="S4" s="6">
        <f t="shared" ref="S4:S67" si="4">P4+R4</f>
        <v>1.3540000000000001</v>
      </c>
      <c r="T4" s="5">
        <f>O4+P4+R4</f>
        <v>3.08</v>
      </c>
      <c r="U4" s="5">
        <v>193.80510000000001</v>
      </c>
      <c r="V4" s="5">
        <v>13.2</v>
      </c>
      <c r="W4" s="5">
        <v>4.91</v>
      </c>
      <c r="X4" s="5">
        <f t="shared" si="1"/>
        <v>254.67161629435</v>
      </c>
      <c r="Y4" s="7">
        <f t="shared" si="2"/>
        <v>0.78447276940903798</v>
      </c>
      <c r="Z4" s="5">
        <v>1.44</v>
      </c>
      <c r="AA4" s="5">
        <f>Q4*Z4*100/U4</f>
        <v>0.56543403656560098</v>
      </c>
      <c r="AB4" s="8">
        <f t="shared" si="3"/>
        <v>14.4</v>
      </c>
    </row>
    <row r="5" spans="1:28">
      <c r="A5" s="2" t="s">
        <v>26</v>
      </c>
      <c r="B5" s="2">
        <v>1</v>
      </c>
      <c r="C5" s="3">
        <v>10</v>
      </c>
      <c r="D5" s="2" t="s">
        <v>27</v>
      </c>
      <c r="E5" s="5" t="s">
        <v>31</v>
      </c>
      <c r="G5" s="12"/>
      <c r="I5" s="12"/>
      <c r="J5" s="12"/>
      <c r="K5" s="12"/>
      <c r="O5" s="5">
        <v>0.88100000000000001</v>
      </c>
      <c r="P5" s="5">
        <v>0.35599999999999998</v>
      </c>
      <c r="Q5" s="5">
        <v>0.53</v>
      </c>
      <c r="R5" s="5">
        <v>0.54800000000000004</v>
      </c>
      <c r="S5" s="6">
        <f t="shared" si="4"/>
        <v>0.90400000000000003</v>
      </c>
      <c r="T5" s="5">
        <f>O5+P5+R5</f>
        <v>1.7849999999999999</v>
      </c>
      <c r="U5" s="5">
        <v>121.0044</v>
      </c>
      <c r="V5" s="5">
        <v>12.9</v>
      </c>
      <c r="W5" s="5">
        <v>3.49</v>
      </c>
      <c r="X5" s="5">
        <f t="shared" si="1"/>
        <v>228.31018867924499</v>
      </c>
      <c r="Y5" s="7">
        <f t="shared" si="2"/>
        <v>1.0261066969353001</v>
      </c>
    </row>
    <row r="6" spans="1:28">
      <c r="A6" s="2" t="s">
        <v>26</v>
      </c>
      <c r="B6" s="2">
        <v>1</v>
      </c>
      <c r="C6" s="3">
        <v>10</v>
      </c>
      <c r="D6" s="2" t="s">
        <v>27</v>
      </c>
      <c r="E6" s="5" t="s">
        <v>32</v>
      </c>
      <c r="G6" s="12"/>
      <c r="I6" s="12"/>
      <c r="J6" s="12"/>
      <c r="K6" s="12"/>
      <c r="O6" s="5">
        <v>0.96099999999999997</v>
      </c>
      <c r="P6" s="5">
        <v>0.24199999999999999</v>
      </c>
      <c r="Q6" s="5">
        <v>0.42699999999999999</v>
      </c>
      <c r="R6" s="5">
        <v>0.443</v>
      </c>
      <c r="S6" s="6">
        <f t="shared" si="4"/>
        <v>0.68500000000000005</v>
      </c>
      <c r="T6" s="5">
        <f t="shared" ref="T6:T69" si="5">O6+P6+R6</f>
        <v>1.6459999999999999</v>
      </c>
      <c r="U6" s="5">
        <v>109.56910000000001</v>
      </c>
      <c r="V6" s="5">
        <v>8.1999999999999993</v>
      </c>
      <c r="W6" s="5">
        <v>3.42</v>
      </c>
      <c r="X6" s="5">
        <f t="shared" si="1"/>
        <v>256.60210772833699</v>
      </c>
      <c r="Y6" s="7">
        <f t="shared" si="2"/>
        <v>0.712799167533819</v>
      </c>
    </row>
    <row r="7" spans="1:28">
      <c r="A7" s="2" t="s">
        <v>26</v>
      </c>
      <c r="B7" s="2">
        <v>2</v>
      </c>
      <c r="C7" s="3">
        <v>10</v>
      </c>
      <c r="D7" s="2" t="s">
        <v>27</v>
      </c>
      <c r="E7" s="2" t="s">
        <v>33</v>
      </c>
      <c r="F7" s="11">
        <v>5.7</v>
      </c>
      <c r="G7" s="11">
        <v>10.133333333333301</v>
      </c>
      <c r="H7" s="11">
        <v>603</v>
      </c>
      <c r="I7" s="11">
        <v>151.666666666667</v>
      </c>
      <c r="J7" s="12">
        <v>3.173333</v>
      </c>
      <c r="K7" s="12">
        <f t="shared" si="0"/>
        <v>3.1932776463526902</v>
      </c>
      <c r="L7" s="11">
        <v>35.951479999999997</v>
      </c>
      <c r="M7" s="11">
        <v>70.506240000000005</v>
      </c>
      <c r="N7" s="11">
        <v>1.681295</v>
      </c>
      <c r="O7" s="5">
        <v>0.745</v>
      </c>
      <c r="P7" s="5">
        <v>0.28599999999999998</v>
      </c>
      <c r="Q7" s="5">
        <v>0.54300000000000004</v>
      </c>
      <c r="R7" s="5">
        <v>0.56000000000000005</v>
      </c>
      <c r="S7" s="6">
        <f t="shared" si="4"/>
        <v>0.84599999999999997</v>
      </c>
      <c r="T7" s="5">
        <f t="shared" si="5"/>
        <v>1.591</v>
      </c>
      <c r="U7" s="5">
        <v>122.4602</v>
      </c>
      <c r="V7" s="5">
        <v>11.8</v>
      </c>
      <c r="W7" s="17">
        <v>3.3</v>
      </c>
      <c r="X7" s="5">
        <f t="shared" si="1"/>
        <v>225.525230202578</v>
      </c>
      <c r="Y7" s="7">
        <f t="shared" si="2"/>
        <v>1.1355704697986599</v>
      </c>
      <c r="Z7" s="5">
        <v>1.26</v>
      </c>
      <c r="AA7" s="5">
        <f>Q7*Z7*100/U7</f>
        <v>0.55869580484108305</v>
      </c>
      <c r="AB7" s="8">
        <f t="shared" si="3"/>
        <v>12.6</v>
      </c>
    </row>
    <row r="8" spans="1:28">
      <c r="A8" s="2" t="s">
        <v>26</v>
      </c>
      <c r="B8" s="2">
        <v>2</v>
      </c>
      <c r="C8" s="3">
        <v>10</v>
      </c>
      <c r="D8" s="2" t="s">
        <v>27</v>
      </c>
      <c r="E8" s="2" t="s">
        <v>34</v>
      </c>
      <c r="F8" s="12">
        <v>6.9666670000000002</v>
      </c>
      <c r="G8" s="12">
        <v>11.56667</v>
      </c>
      <c r="H8" s="12">
        <v>614.33330000000001</v>
      </c>
      <c r="I8" s="12">
        <v>186.66669999999999</v>
      </c>
      <c r="J8" s="12">
        <v>4.056667</v>
      </c>
      <c r="K8" s="12">
        <f t="shared" si="0"/>
        <v>2.85127421107032</v>
      </c>
      <c r="L8" s="11">
        <v>38.659080000000003</v>
      </c>
      <c r="M8" s="11">
        <v>77.393680000000003</v>
      </c>
      <c r="N8" s="11">
        <v>1.731714</v>
      </c>
      <c r="O8" s="5">
        <v>0.88300000000000001</v>
      </c>
      <c r="P8" s="5">
        <v>0.25600000000000001</v>
      </c>
      <c r="Q8" s="5">
        <v>0.52</v>
      </c>
      <c r="R8" s="5">
        <v>0.53800000000000003</v>
      </c>
      <c r="S8" s="6">
        <f t="shared" si="4"/>
        <v>0.79400000000000004</v>
      </c>
      <c r="T8" s="5">
        <f t="shared" si="5"/>
        <v>1.677</v>
      </c>
      <c r="U8" s="5">
        <v>116.8122</v>
      </c>
      <c r="V8" s="5">
        <v>10.5</v>
      </c>
      <c r="W8" s="5">
        <v>3.49</v>
      </c>
      <c r="X8" s="5">
        <f t="shared" si="1"/>
        <v>224.638846153846</v>
      </c>
      <c r="Y8" s="7">
        <f t="shared" si="2"/>
        <v>0.89920724801812002</v>
      </c>
      <c r="Z8" s="5">
        <v>1.06</v>
      </c>
      <c r="AA8" s="5">
        <f>Q8*Z8*100/U8</f>
        <v>0.47186852058260997</v>
      </c>
      <c r="AB8" s="8">
        <f t="shared" si="3"/>
        <v>10.6</v>
      </c>
    </row>
    <row r="9" spans="1:28">
      <c r="A9" s="2" t="s">
        <v>26</v>
      </c>
      <c r="B9" s="2">
        <v>2</v>
      </c>
      <c r="C9" s="3">
        <v>10</v>
      </c>
      <c r="D9" s="2" t="s">
        <v>27</v>
      </c>
      <c r="E9" s="2" t="s">
        <v>35</v>
      </c>
      <c r="F9" s="11">
        <v>11.4</v>
      </c>
      <c r="G9" s="11">
        <v>18.7</v>
      </c>
      <c r="H9" s="11">
        <v>593.66666666666697</v>
      </c>
      <c r="I9" s="11">
        <v>283</v>
      </c>
      <c r="J9" s="12">
        <v>4.3633329999999999</v>
      </c>
      <c r="K9" s="12">
        <f t="shared" si="0"/>
        <v>4.2857146131180004</v>
      </c>
      <c r="L9" s="11">
        <v>56.39329</v>
      </c>
      <c r="M9" s="11">
        <v>129.4204</v>
      </c>
      <c r="N9" s="11">
        <v>1.336457</v>
      </c>
      <c r="O9" s="5">
        <v>1.0840000000000001</v>
      </c>
      <c r="P9" s="5">
        <v>0.41599999999999998</v>
      </c>
      <c r="Q9" s="5">
        <v>0.876</v>
      </c>
      <c r="R9" s="5">
        <v>0.91600000000000004</v>
      </c>
      <c r="S9" s="6">
        <f t="shared" si="4"/>
        <v>1.3320000000000001</v>
      </c>
      <c r="T9" s="5">
        <f t="shared" si="5"/>
        <v>2.4159999999999999</v>
      </c>
      <c r="U9" s="5">
        <v>195.27600000000001</v>
      </c>
      <c r="V9" s="5">
        <v>16</v>
      </c>
      <c r="W9" s="5">
        <v>3.56</v>
      </c>
      <c r="X9" s="5">
        <f t="shared" si="1"/>
        <v>222.917808219178</v>
      </c>
      <c r="Y9" s="7">
        <f t="shared" si="2"/>
        <v>1.22878228782288</v>
      </c>
      <c r="Z9" s="5">
        <v>1.71</v>
      </c>
      <c r="AA9" s="5">
        <f>Q9*Z9*100/U9</f>
        <v>0.76709887543784205</v>
      </c>
      <c r="AB9" s="8">
        <f t="shared" si="3"/>
        <v>17.100000000000001</v>
      </c>
    </row>
    <row r="10" spans="1:28">
      <c r="A10" s="2" t="s">
        <v>26</v>
      </c>
      <c r="B10" s="2">
        <v>2</v>
      </c>
      <c r="C10" s="3">
        <v>10</v>
      </c>
      <c r="D10" s="2" t="s">
        <v>27</v>
      </c>
      <c r="E10" s="5" t="s">
        <v>36</v>
      </c>
      <c r="G10" s="12"/>
      <c r="I10" s="12"/>
      <c r="J10" s="12"/>
      <c r="K10" s="12"/>
      <c r="O10" s="5">
        <v>0.88800000000000001</v>
      </c>
      <c r="P10" s="5">
        <v>0.23599999999999999</v>
      </c>
      <c r="Q10" s="5">
        <v>0.505</v>
      </c>
      <c r="R10" s="5">
        <v>0.52700000000000002</v>
      </c>
      <c r="S10" s="6">
        <f t="shared" si="4"/>
        <v>0.76300000000000001</v>
      </c>
      <c r="T10" s="5">
        <f t="shared" si="5"/>
        <v>1.651</v>
      </c>
      <c r="U10" s="5">
        <v>110.7895</v>
      </c>
      <c r="V10" s="5">
        <v>13.3</v>
      </c>
      <c r="W10" s="5">
        <v>2.67</v>
      </c>
      <c r="X10" s="5">
        <f t="shared" si="1"/>
        <v>219.38514851485101</v>
      </c>
      <c r="Y10" s="7">
        <f t="shared" si="2"/>
        <v>0.85923423423423395</v>
      </c>
    </row>
    <row r="11" spans="1:28">
      <c r="A11" s="2" t="s">
        <v>26</v>
      </c>
      <c r="B11" s="2">
        <v>2</v>
      </c>
      <c r="C11" s="3">
        <v>10</v>
      </c>
      <c r="D11" s="2" t="s">
        <v>27</v>
      </c>
      <c r="E11" s="5" t="s">
        <v>37</v>
      </c>
      <c r="G11" s="12"/>
      <c r="I11" s="12"/>
      <c r="J11" s="12"/>
      <c r="K11" s="12"/>
      <c r="O11" s="5">
        <v>1.079</v>
      </c>
      <c r="P11" s="5">
        <v>0.22</v>
      </c>
      <c r="Q11" s="5">
        <v>0.54600000000000004</v>
      </c>
      <c r="R11" s="5">
        <v>0.56399999999999995</v>
      </c>
      <c r="S11" s="6">
        <f t="shared" si="4"/>
        <v>0.78400000000000003</v>
      </c>
      <c r="T11" s="5">
        <f t="shared" si="5"/>
        <v>1.863</v>
      </c>
      <c r="U11" s="5">
        <v>105.7538</v>
      </c>
      <c r="V11" s="5">
        <v>9.9</v>
      </c>
      <c r="W11" s="5">
        <v>2.83</v>
      </c>
      <c r="X11" s="5">
        <f t="shared" si="1"/>
        <v>193.68827838827801</v>
      </c>
      <c r="Y11" s="7">
        <f t="shared" si="2"/>
        <v>0.72659870250231695</v>
      </c>
    </row>
    <row r="12" spans="1:28">
      <c r="A12" s="2" t="s">
        <v>26</v>
      </c>
      <c r="B12" s="2">
        <v>1</v>
      </c>
      <c r="C12" s="3">
        <v>80</v>
      </c>
      <c r="D12" s="2" t="s">
        <v>27</v>
      </c>
      <c r="E12" s="2" t="s">
        <v>38</v>
      </c>
      <c r="F12" s="11">
        <v>11.6</v>
      </c>
      <c r="G12" s="11">
        <v>18.7</v>
      </c>
      <c r="H12" s="11">
        <v>617.66666666666697</v>
      </c>
      <c r="I12" s="11">
        <v>424.33333333333297</v>
      </c>
      <c r="J12" s="12">
        <v>4.71</v>
      </c>
      <c r="K12" s="12">
        <f t="shared" si="0"/>
        <v>3.9702760084925699</v>
      </c>
      <c r="L12" s="4">
        <v>58.031939999999999</v>
      </c>
      <c r="M12" s="4">
        <v>121.57689999999999</v>
      </c>
      <c r="N12" s="4">
        <v>1.48234</v>
      </c>
      <c r="O12" s="5">
        <v>1.778</v>
      </c>
      <c r="P12" s="5">
        <v>0.79700000000000004</v>
      </c>
      <c r="Q12" s="5">
        <v>1.034</v>
      </c>
      <c r="R12" s="5">
        <v>1.0960000000000001</v>
      </c>
      <c r="S12" s="6">
        <f t="shared" si="4"/>
        <v>1.893</v>
      </c>
      <c r="T12" s="5">
        <f t="shared" si="5"/>
        <v>3.6709999999999998</v>
      </c>
      <c r="U12" s="5">
        <v>217.47</v>
      </c>
      <c r="V12" s="5">
        <v>13.2</v>
      </c>
      <c r="W12" s="5">
        <v>5.78</v>
      </c>
      <c r="X12" s="5">
        <f t="shared" si="1"/>
        <v>210.31914893617</v>
      </c>
      <c r="Y12" s="7">
        <f t="shared" si="2"/>
        <v>1.06467941507312</v>
      </c>
      <c r="Z12" s="5">
        <v>2.36</v>
      </c>
      <c r="AA12" s="5">
        <f>Q12*Z12*100/U12</f>
        <v>1.12210419828022</v>
      </c>
      <c r="AB12" s="8">
        <f t="shared" si="3"/>
        <v>23.6</v>
      </c>
    </row>
    <row r="13" spans="1:28">
      <c r="A13" s="2" t="s">
        <v>26</v>
      </c>
      <c r="B13" s="2">
        <v>1</v>
      </c>
      <c r="C13" s="3">
        <v>80</v>
      </c>
      <c r="D13" s="2" t="s">
        <v>27</v>
      </c>
      <c r="E13" s="2" t="s">
        <v>39</v>
      </c>
      <c r="F13" s="11">
        <v>9.3666666666666707</v>
      </c>
      <c r="G13" s="11">
        <v>15.7</v>
      </c>
      <c r="H13" s="11">
        <v>605.33333333333303</v>
      </c>
      <c r="I13" s="11">
        <v>281.33333333333297</v>
      </c>
      <c r="J13" s="12">
        <v>3.9866670000000002</v>
      </c>
      <c r="K13" s="12">
        <f t="shared" si="0"/>
        <v>3.9381267610261901</v>
      </c>
      <c r="L13" s="4">
        <v>52.605269999999997</v>
      </c>
      <c r="M13" s="4">
        <v>105.6164</v>
      </c>
      <c r="N13" s="4">
        <v>2.0592570000000001</v>
      </c>
      <c r="O13" s="5">
        <v>1.776</v>
      </c>
      <c r="P13" s="5">
        <v>0.93100000000000005</v>
      </c>
      <c r="Q13" s="5">
        <v>0.95799999999999996</v>
      </c>
      <c r="R13" s="5">
        <v>1.01</v>
      </c>
      <c r="S13" s="6">
        <f t="shared" si="4"/>
        <v>1.9410000000000001</v>
      </c>
      <c r="T13" s="5">
        <f t="shared" si="5"/>
        <v>3.7170000000000001</v>
      </c>
      <c r="U13" s="5">
        <v>244.32849999999999</v>
      </c>
      <c r="V13" s="5">
        <v>17.5</v>
      </c>
      <c r="W13" s="5">
        <v>5.74</v>
      </c>
      <c r="X13" s="5">
        <f t="shared" si="1"/>
        <v>255.04018789144001</v>
      </c>
      <c r="Y13" s="7">
        <f t="shared" si="2"/>
        <v>1.0929054054054099</v>
      </c>
      <c r="Z13" s="5">
        <v>2.86</v>
      </c>
      <c r="AA13" s="5">
        <f>Q13*Z13*100/U13</f>
        <v>1.1213918965654801</v>
      </c>
      <c r="AB13" s="8">
        <f t="shared" si="3"/>
        <v>28.6</v>
      </c>
    </row>
    <row r="14" spans="1:28">
      <c r="A14" s="2" t="s">
        <v>26</v>
      </c>
      <c r="B14" s="2">
        <v>1</v>
      </c>
      <c r="C14" s="3">
        <v>80</v>
      </c>
      <c r="D14" s="2" t="s">
        <v>27</v>
      </c>
      <c r="E14" s="2" t="s">
        <v>40</v>
      </c>
      <c r="F14" s="11">
        <v>12.766666666666699</v>
      </c>
      <c r="G14" s="11">
        <v>21.5</v>
      </c>
      <c r="H14" s="11">
        <v>594.66666666666697</v>
      </c>
      <c r="I14" s="11">
        <v>394.33333333333297</v>
      </c>
      <c r="J14" s="12">
        <v>5.5066670000000002</v>
      </c>
      <c r="K14" s="12">
        <f t="shared" si="0"/>
        <v>3.9043581171696098</v>
      </c>
      <c r="L14" s="4">
        <v>73.148169999999993</v>
      </c>
      <c r="M14" s="4">
        <v>151.57249999999999</v>
      </c>
      <c r="N14" s="4">
        <v>1.2882309999999999</v>
      </c>
      <c r="O14" s="5">
        <v>2.5139999999999998</v>
      </c>
      <c r="P14" s="5">
        <v>1.234</v>
      </c>
      <c r="Q14" s="5">
        <v>1.53</v>
      </c>
      <c r="R14" s="5">
        <v>1.617</v>
      </c>
      <c r="S14" s="6">
        <f t="shared" si="4"/>
        <v>2.851</v>
      </c>
      <c r="T14" s="5">
        <f t="shared" si="5"/>
        <v>5.3650000000000002</v>
      </c>
      <c r="U14" s="5">
        <v>433.28930000000003</v>
      </c>
      <c r="V14" s="5">
        <v>25.8</v>
      </c>
      <c r="W14" s="17">
        <v>6.8</v>
      </c>
      <c r="X14" s="5">
        <f t="shared" si="1"/>
        <v>283.19562091503298</v>
      </c>
      <c r="Y14" s="7">
        <f t="shared" si="2"/>
        <v>1.1340493237867899</v>
      </c>
      <c r="Z14" s="5">
        <v>2.7</v>
      </c>
      <c r="AA14" s="5">
        <f>Q14*Z14*100/U14</f>
        <v>0.95340457288005998</v>
      </c>
      <c r="AB14" s="8">
        <f t="shared" si="3"/>
        <v>27</v>
      </c>
    </row>
    <row r="15" spans="1:28">
      <c r="A15" s="2" t="s">
        <v>26</v>
      </c>
      <c r="B15" s="2">
        <v>1</v>
      </c>
      <c r="C15" s="3">
        <v>80</v>
      </c>
      <c r="D15" s="2" t="s">
        <v>27</v>
      </c>
      <c r="E15" s="5" t="s">
        <v>41</v>
      </c>
      <c r="G15" s="12"/>
      <c r="I15" s="12"/>
      <c r="J15" s="12"/>
      <c r="K15" s="12"/>
      <c r="O15" s="5">
        <v>2.0939999999999999</v>
      </c>
      <c r="P15" s="5">
        <v>1.2869999999999999</v>
      </c>
      <c r="Q15" s="5">
        <v>1.6559999999999999</v>
      </c>
      <c r="R15" s="5">
        <v>1.752</v>
      </c>
      <c r="S15" s="6">
        <f t="shared" si="4"/>
        <v>3.0390000000000001</v>
      </c>
      <c r="T15" s="5">
        <f t="shared" si="5"/>
        <v>5.133</v>
      </c>
      <c r="U15" s="5">
        <v>497.40550000000002</v>
      </c>
      <c r="V15" s="5">
        <v>28.2</v>
      </c>
      <c r="W15" s="5">
        <v>6.23</v>
      </c>
      <c r="X15" s="5">
        <f t="shared" si="1"/>
        <v>300.36564009661799</v>
      </c>
      <c r="Y15" s="7">
        <f t="shared" si="2"/>
        <v>1.4512893982807999</v>
      </c>
      <c r="Z15" s="2"/>
      <c r="AA15" s="2"/>
    </row>
    <row r="16" spans="1:28">
      <c r="A16" s="2" t="s">
        <v>26</v>
      </c>
      <c r="B16" s="2">
        <v>1</v>
      </c>
      <c r="C16" s="3">
        <v>80</v>
      </c>
      <c r="D16" s="2" t="s">
        <v>27</v>
      </c>
      <c r="E16" s="5" t="s">
        <v>42</v>
      </c>
      <c r="G16" s="12"/>
      <c r="I16" s="12"/>
      <c r="J16" s="12"/>
      <c r="K16" s="12"/>
      <c r="O16" s="5">
        <v>1.6060000000000001</v>
      </c>
      <c r="P16" s="5">
        <v>0.78900000000000003</v>
      </c>
      <c r="Q16" s="5">
        <v>1.524</v>
      </c>
      <c r="R16" s="5">
        <v>1.6040000000000001</v>
      </c>
      <c r="S16" s="6">
        <f t="shared" si="4"/>
        <v>2.3929999999999998</v>
      </c>
      <c r="T16" s="5">
        <f t="shared" si="5"/>
        <v>3.9990000000000001</v>
      </c>
      <c r="U16" s="5">
        <v>390.4393</v>
      </c>
      <c r="V16" s="5">
        <v>20.6</v>
      </c>
      <c r="W16" s="5">
        <v>6.64</v>
      </c>
      <c r="X16" s="5">
        <f t="shared" si="1"/>
        <v>256.19376640419898</v>
      </c>
      <c r="Y16" s="7">
        <f t="shared" si="2"/>
        <v>1.49003735990037</v>
      </c>
      <c r="Z16" s="2"/>
      <c r="AA16" s="2"/>
    </row>
    <row r="17" spans="1:28">
      <c r="A17" s="2" t="s">
        <v>26</v>
      </c>
      <c r="B17" s="2">
        <v>2</v>
      </c>
      <c r="C17" s="3">
        <v>80</v>
      </c>
      <c r="D17" s="2" t="s">
        <v>27</v>
      </c>
      <c r="E17" s="2" t="s">
        <v>43</v>
      </c>
      <c r="F17" s="11">
        <v>10</v>
      </c>
      <c r="G17" s="11">
        <v>15.366666666666699</v>
      </c>
      <c r="H17" s="11">
        <v>644.66666666666697</v>
      </c>
      <c r="I17" s="11">
        <v>455</v>
      </c>
      <c r="J17" s="12">
        <v>4.7033329999999998</v>
      </c>
      <c r="K17" s="12">
        <f t="shared" si="0"/>
        <v>3.2671866241804799</v>
      </c>
      <c r="L17" s="11">
        <v>43.858139999999999</v>
      </c>
      <c r="M17" s="11">
        <v>93.967140000000001</v>
      </c>
      <c r="N17" s="11">
        <v>0.95087100000000002</v>
      </c>
      <c r="O17" s="5">
        <v>2.3769999999999998</v>
      </c>
      <c r="P17" s="5">
        <v>0.71499999999999997</v>
      </c>
      <c r="Q17" s="5">
        <v>1.0529999999999999</v>
      </c>
      <c r="R17" s="5">
        <v>1.121</v>
      </c>
      <c r="S17" s="6">
        <f t="shared" si="4"/>
        <v>1.8360000000000001</v>
      </c>
      <c r="T17" s="5">
        <f t="shared" si="5"/>
        <v>4.2130000000000001</v>
      </c>
      <c r="U17" s="5">
        <v>267.05759999999998</v>
      </c>
      <c r="V17" s="5">
        <v>15.9</v>
      </c>
      <c r="W17" s="5">
        <v>5.09</v>
      </c>
      <c r="X17" s="5">
        <f t="shared" si="1"/>
        <v>253.61595441595401</v>
      </c>
      <c r="Y17" s="7">
        <f t="shared" si="2"/>
        <v>0.77240218763146795</v>
      </c>
      <c r="Z17" s="5">
        <v>2.39</v>
      </c>
      <c r="AA17" s="5">
        <f>Q17*Z17*100/U17</f>
        <v>0.94236973596707196</v>
      </c>
      <c r="AB17" s="8">
        <f t="shared" si="3"/>
        <v>23.9</v>
      </c>
    </row>
    <row r="18" spans="1:28">
      <c r="A18" s="2" t="s">
        <v>26</v>
      </c>
      <c r="B18" s="2">
        <v>2</v>
      </c>
      <c r="C18" s="3">
        <v>80</v>
      </c>
      <c r="D18" s="2" t="s">
        <v>27</v>
      </c>
      <c r="E18" s="2" t="s">
        <v>44</v>
      </c>
      <c r="F18" s="11">
        <v>13.133333333333301</v>
      </c>
      <c r="G18" s="11">
        <v>21.066666666666698</v>
      </c>
      <c r="H18" s="11">
        <v>623</v>
      </c>
      <c r="I18" s="11">
        <v>553</v>
      </c>
      <c r="J18" s="12">
        <v>4.99</v>
      </c>
      <c r="K18" s="12">
        <f t="shared" si="0"/>
        <v>4.2217768871075503</v>
      </c>
      <c r="L18" s="11">
        <v>66.632829999999998</v>
      </c>
      <c r="M18" s="11">
        <v>133.71729999999999</v>
      </c>
      <c r="N18" s="11">
        <v>1.346066</v>
      </c>
      <c r="O18" s="5">
        <v>2.738</v>
      </c>
      <c r="P18" s="5">
        <v>1.0249999999999999</v>
      </c>
      <c r="Q18" s="5">
        <v>1.4650000000000001</v>
      </c>
      <c r="R18" s="5">
        <v>1.54</v>
      </c>
      <c r="S18" s="6">
        <f t="shared" si="4"/>
        <v>2.5649999999999999</v>
      </c>
      <c r="T18" s="5">
        <f t="shared" si="5"/>
        <v>5.3029999999999999</v>
      </c>
      <c r="U18" s="5">
        <v>331.7697</v>
      </c>
      <c r="V18" s="5">
        <v>18.100000000000001</v>
      </c>
      <c r="W18" s="5">
        <v>7.03</v>
      </c>
      <c r="X18" s="5">
        <f t="shared" si="1"/>
        <v>226.46395904436901</v>
      </c>
      <c r="Y18" s="7">
        <f t="shared" si="2"/>
        <v>0.93681519357195098</v>
      </c>
      <c r="Z18" s="5">
        <v>2.61</v>
      </c>
      <c r="AA18" s="5">
        <f>Q18*Z18*100/U18</f>
        <v>1.1525012681989899</v>
      </c>
      <c r="AB18" s="8">
        <f t="shared" si="3"/>
        <v>26.1</v>
      </c>
    </row>
    <row r="19" spans="1:28">
      <c r="A19" s="2" t="s">
        <v>26</v>
      </c>
      <c r="B19" s="2">
        <v>2</v>
      </c>
      <c r="C19" s="3">
        <v>80</v>
      </c>
      <c r="D19" s="2" t="s">
        <v>27</v>
      </c>
      <c r="E19" s="2" t="s">
        <v>45</v>
      </c>
      <c r="F19" s="12">
        <v>15.466670000000001</v>
      </c>
      <c r="G19" s="12">
        <v>24.366669999999999</v>
      </c>
      <c r="H19" s="12">
        <v>599.33330000000001</v>
      </c>
      <c r="I19" s="12">
        <v>469</v>
      </c>
      <c r="J19" s="12">
        <v>6.13</v>
      </c>
      <c r="K19" s="12">
        <f t="shared" si="0"/>
        <v>3.9749869494290402</v>
      </c>
      <c r="L19" s="11">
        <v>82.634010000000004</v>
      </c>
      <c r="M19" s="11">
        <v>169.48419999999999</v>
      </c>
      <c r="N19" s="11">
        <v>1.40082</v>
      </c>
      <c r="O19" s="5">
        <v>1.881</v>
      </c>
      <c r="P19" s="5">
        <v>0.93200000000000005</v>
      </c>
      <c r="Q19" s="5">
        <v>1.49</v>
      </c>
      <c r="R19" s="5">
        <v>1.573</v>
      </c>
      <c r="S19" s="6">
        <f t="shared" si="4"/>
        <v>2.5049999999999999</v>
      </c>
      <c r="T19" s="5">
        <f t="shared" si="5"/>
        <v>4.3860000000000001</v>
      </c>
      <c r="U19" s="5">
        <v>344.13780000000003</v>
      </c>
      <c r="V19" s="5">
        <v>27.2</v>
      </c>
      <c r="W19" s="5">
        <v>4.8899999999999997</v>
      </c>
      <c r="X19" s="5">
        <f t="shared" si="1"/>
        <v>230.964966442953</v>
      </c>
      <c r="Y19" s="7">
        <f t="shared" si="2"/>
        <v>1.3317384370015899</v>
      </c>
      <c r="Z19" s="5">
        <v>2.16</v>
      </c>
      <c r="AA19" s="5">
        <f>Q19*Z19*100/U19</f>
        <v>0.93520676891640497</v>
      </c>
      <c r="AB19" s="8">
        <f t="shared" si="3"/>
        <v>21.6</v>
      </c>
    </row>
    <row r="20" spans="1:28">
      <c r="A20" s="2" t="s">
        <v>26</v>
      </c>
      <c r="B20" s="2">
        <v>2</v>
      </c>
      <c r="C20" s="3">
        <v>80</v>
      </c>
      <c r="D20" s="2" t="s">
        <v>27</v>
      </c>
      <c r="E20" s="5" t="s">
        <v>46</v>
      </c>
      <c r="G20" s="12"/>
      <c r="I20" s="12"/>
      <c r="J20" s="12"/>
      <c r="K20" s="12"/>
      <c r="O20" s="5">
        <v>1.637</v>
      </c>
      <c r="P20" s="5">
        <v>0.83899999999999997</v>
      </c>
      <c r="Q20" s="5">
        <v>1.488</v>
      </c>
      <c r="R20" s="5">
        <v>1.5740000000000001</v>
      </c>
      <c r="S20" s="6">
        <f t="shared" si="4"/>
        <v>2.4129999999999998</v>
      </c>
      <c r="T20" s="5">
        <f t="shared" si="5"/>
        <v>4.05</v>
      </c>
      <c r="U20" s="5">
        <v>411.47489999999999</v>
      </c>
      <c r="V20" s="5">
        <v>23.2</v>
      </c>
      <c r="W20" s="5">
        <v>5.73</v>
      </c>
      <c r="X20" s="5">
        <f t="shared" si="1"/>
        <v>276.52883064516101</v>
      </c>
      <c r="Y20" s="7">
        <f t="shared" si="2"/>
        <v>1.4740378741600499</v>
      </c>
    </row>
    <row r="21" spans="1:28">
      <c r="A21" s="2" t="s">
        <v>26</v>
      </c>
      <c r="B21" s="2">
        <v>2</v>
      </c>
      <c r="C21" s="3">
        <v>80</v>
      </c>
      <c r="D21" s="2" t="s">
        <v>27</v>
      </c>
      <c r="E21" s="5" t="s">
        <v>47</v>
      </c>
      <c r="G21" s="12"/>
      <c r="I21" s="12"/>
      <c r="J21" s="12"/>
      <c r="K21" s="12"/>
      <c r="O21" s="5">
        <v>1.974</v>
      </c>
      <c r="P21" s="5">
        <v>0.72299999999999998</v>
      </c>
      <c r="Q21" s="5">
        <v>1.079</v>
      </c>
      <c r="R21" s="5">
        <v>1.157</v>
      </c>
      <c r="S21" s="6">
        <f t="shared" si="4"/>
        <v>1.88</v>
      </c>
      <c r="T21" s="5">
        <f t="shared" si="5"/>
        <v>3.8540000000000001</v>
      </c>
      <c r="U21" s="5">
        <v>252.12620000000001</v>
      </c>
      <c r="V21" s="5">
        <v>19</v>
      </c>
      <c r="W21" s="5">
        <v>5.39</v>
      </c>
      <c r="X21" s="5">
        <f t="shared" si="1"/>
        <v>233.66654309545899</v>
      </c>
      <c r="Y21" s="7">
        <f t="shared" si="2"/>
        <v>0.952380952380952</v>
      </c>
    </row>
    <row r="22" spans="1:28">
      <c r="A22" s="2" t="s">
        <v>26</v>
      </c>
      <c r="B22" s="2">
        <v>1</v>
      </c>
      <c r="C22" s="3">
        <v>150</v>
      </c>
      <c r="D22" s="2" t="s">
        <v>27</v>
      </c>
      <c r="E22" s="2" t="s">
        <v>48</v>
      </c>
      <c r="F22" s="11">
        <v>14.1</v>
      </c>
      <c r="G22" s="11">
        <v>22.233333333333299</v>
      </c>
      <c r="H22" s="11">
        <v>629.33333333333303</v>
      </c>
      <c r="I22" s="11">
        <v>733.66666666666697</v>
      </c>
      <c r="J22" s="12">
        <v>6.443333</v>
      </c>
      <c r="K22" s="12">
        <f t="shared" si="0"/>
        <v>3.45059510867021</v>
      </c>
      <c r="L22" s="4">
        <v>67.131209999999996</v>
      </c>
      <c r="M22" s="4">
        <v>153.5197</v>
      </c>
      <c r="N22" s="4">
        <v>1.613567</v>
      </c>
      <c r="O22" s="5">
        <v>3.0430000000000001</v>
      </c>
      <c r="P22" s="5">
        <v>2.6379999999999999</v>
      </c>
      <c r="Q22" s="5">
        <v>2.6880000000000002</v>
      </c>
      <c r="R22" s="5">
        <v>2.8279999999999998</v>
      </c>
      <c r="S22" s="6">
        <f t="shared" si="4"/>
        <v>5.4660000000000002</v>
      </c>
      <c r="T22" s="5">
        <f t="shared" si="5"/>
        <v>8.5090000000000003</v>
      </c>
      <c r="U22" s="5">
        <v>702.85019999999997</v>
      </c>
      <c r="V22" s="5">
        <v>7.19</v>
      </c>
      <c r="W22" s="5">
        <v>7.13</v>
      </c>
      <c r="X22" s="5">
        <f t="shared" si="1"/>
        <v>261.47700892857102</v>
      </c>
      <c r="Y22" s="7">
        <f t="shared" si="2"/>
        <v>1.79625369700953</v>
      </c>
      <c r="Z22" s="5">
        <v>2.8</v>
      </c>
      <c r="AA22" s="5">
        <f>Q22*Z22*100/U22</f>
        <v>1.0708398461009201</v>
      </c>
      <c r="AB22" s="8">
        <f t="shared" si="3"/>
        <v>28</v>
      </c>
    </row>
    <row r="23" spans="1:28">
      <c r="A23" s="2" t="s">
        <v>26</v>
      </c>
      <c r="B23" s="2">
        <v>1</v>
      </c>
      <c r="C23" s="3">
        <v>150</v>
      </c>
      <c r="D23" s="2" t="s">
        <v>27</v>
      </c>
      <c r="E23" s="2" t="s">
        <v>49</v>
      </c>
      <c r="F23" s="11">
        <v>13.6666666666667</v>
      </c>
      <c r="G23" s="11">
        <v>21.766666666666701</v>
      </c>
      <c r="H23" s="11">
        <v>591.33333333333303</v>
      </c>
      <c r="I23" s="11">
        <v>394.66666666666703</v>
      </c>
      <c r="J23" s="12">
        <v>5.73</v>
      </c>
      <c r="K23" s="12">
        <f t="shared" si="0"/>
        <v>3.7987201861547399</v>
      </c>
      <c r="L23" s="4">
        <v>70.470190000000002</v>
      </c>
      <c r="M23" s="4">
        <v>152.84440000000001</v>
      </c>
      <c r="N23" s="4">
        <v>1.2862960000000001</v>
      </c>
      <c r="O23" s="5">
        <v>2.7890000000000001</v>
      </c>
      <c r="P23" s="5">
        <v>2.3159999999999998</v>
      </c>
      <c r="Q23" s="5">
        <v>2.681</v>
      </c>
      <c r="R23" s="5">
        <v>2.84</v>
      </c>
      <c r="S23" s="6">
        <f t="shared" si="4"/>
        <v>5.1559999999999997</v>
      </c>
      <c r="T23" s="5">
        <f t="shared" si="5"/>
        <v>7.9450000000000003</v>
      </c>
      <c r="U23" s="5">
        <v>757.10599999999999</v>
      </c>
      <c r="V23" s="5">
        <v>5.63</v>
      </c>
      <c r="W23" s="5">
        <v>5.81</v>
      </c>
      <c r="X23" s="5">
        <f t="shared" si="1"/>
        <v>282.39686684073098</v>
      </c>
      <c r="Y23" s="7">
        <f t="shared" si="2"/>
        <v>1.8486912871997101</v>
      </c>
      <c r="Z23" s="5">
        <v>2.41</v>
      </c>
      <c r="AA23" s="5">
        <f>Q23*Z23*100/U23</f>
        <v>0.85340890179182305</v>
      </c>
      <c r="AB23" s="8">
        <f t="shared" si="3"/>
        <v>24.1</v>
      </c>
    </row>
    <row r="24" spans="1:28">
      <c r="A24" s="2" t="s">
        <v>26</v>
      </c>
      <c r="B24" s="2">
        <v>1</v>
      </c>
      <c r="C24" s="3">
        <v>150</v>
      </c>
      <c r="D24" s="2" t="s">
        <v>27</v>
      </c>
      <c r="E24" s="2" t="s">
        <v>50</v>
      </c>
      <c r="F24" s="11">
        <v>13.866666666666699</v>
      </c>
      <c r="G24" s="11">
        <v>21.433333333333302</v>
      </c>
      <c r="H24" s="11">
        <v>628</v>
      </c>
      <c r="I24" s="11">
        <v>635.33333333333303</v>
      </c>
      <c r="J24" s="12">
        <v>6.4</v>
      </c>
      <c r="K24" s="12">
        <f t="shared" si="0"/>
        <v>3.3489583333333299</v>
      </c>
      <c r="L24" s="4">
        <v>65.427890000000005</v>
      </c>
      <c r="M24" s="4">
        <v>145.32570000000001</v>
      </c>
      <c r="N24" s="4">
        <v>1.539247</v>
      </c>
      <c r="O24" s="5">
        <v>3.335</v>
      </c>
      <c r="P24" s="5">
        <v>1.9470000000000001</v>
      </c>
      <c r="Q24" s="5">
        <v>1.954</v>
      </c>
      <c r="R24" s="5">
        <v>2.0880000000000001</v>
      </c>
      <c r="S24" s="6">
        <f t="shared" si="4"/>
        <v>4.0350000000000001</v>
      </c>
      <c r="T24" s="5">
        <f t="shared" si="5"/>
        <v>7.37</v>
      </c>
      <c r="U24" s="5">
        <v>519.79690000000005</v>
      </c>
      <c r="V24" s="5">
        <v>8.0299999999999994</v>
      </c>
      <c r="W24" s="5">
        <v>8.31</v>
      </c>
      <c r="X24" s="5">
        <f t="shared" si="1"/>
        <v>266.01683725690901</v>
      </c>
      <c r="Y24" s="7">
        <f t="shared" si="2"/>
        <v>1.2098950524737599</v>
      </c>
      <c r="Z24" s="5">
        <v>2.95</v>
      </c>
      <c r="AA24" s="5">
        <f>Q24*Z24*100/U24</f>
        <v>1.1089523619706101</v>
      </c>
      <c r="AB24" s="8">
        <f t="shared" si="3"/>
        <v>29.5</v>
      </c>
    </row>
    <row r="25" spans="1:28">
      <c r="A25" s="2" t="s">
        <v>26</v>
      </c>
      <c r="B25" s="2">
        <v>1</v>
      </c>
      <c r="C25" s="3">
        <v>150</v>
      </c>
      <c r="D25" s="2" t="s">
        <v>27</v>
      </c>
      <c r="E25" s="5" t="s">
        <v>51</v>
      </c>
      <c r="G25" s="12"/>
      <c r="I25" s="12"/>
      <c r="J25" s="12"/>
      <c r="K25" s="12"/>
      <c r="O25" s="5">
        <v>2.6549999999999998</v>
      </c>
      <c r="P25" s="5">
        <v>1.7430000000000001</v>
      </c>
      <c r="Q25" s="5">
        <v>2.0150000000000001</v>
      </c>
      <c r="R25" s="5">
        <v>2.12</v>
      </c>
      <c r="S25" s="6">
        <f t="shared" si="4"/>
        <v>3.863</v>
      </c>
      <c r="T25" s="5">
        <f t="shared" si="5"/>
        <v>6.5179999999999998</v>
      </c>
      <c r="U25" s="5">
        <v>561.3673</v>
      </c>
      <c r="V25" s="5">
        <v>7.45</v>
      </c>
      <c r="W25" s="5">
        <v>7.66</v>
      </c>
      <c r="X25" s="5">
        <f t="shared" si="1"/>
        <v>278.59419354838701</v>
      </c>
      <c r="Y25" s="7">
        <f t="shared" si="2"/>
        <v>1.4549905838041399</v>
      </c>
    </row>
    <row r="26" spans="1:28">
      <c r="A26" s="2" t="s">
        <v>26</v>
      </c>
      <c r="B26" s="2">
        <v>1</v>
      </c>
      <c r="C26" s="3">
        <v>150</v>
      </c>
      <c r="D26" s="2" t="s">
        <v>27</v>
      </c>
      <c r="E26" s="5" t="s">
        <v>52</v>
      </c>
      <c r="G26" s="12"/>
      <c r="I26" s="12"/>
      <c r="J26" s="12"/>
      <c r="K26" s="12"/>
      <c r="L26" s="11"/>
      <c r="O26" s="5">
        <v>3.113</v>
      </c>
      <c r="P26" s="5">
        <v>2.4769999999999999</v>
      </c>
      <c r="Q26" s="5">
        <v>2.7</v>
      </c>
      <c r="R26" s="5">
        <v>2.851</v>
      </c>
      <c r="S26" s="6">
        <f t="shared" si="4"/>
        <v>5.3280000000000003</v>
      </c>
      <c r="T26" s="5">
        <f t="shared" si="5"/>
        <v>8.4410000000000007</v>
      </c>
      <c r="U26" s="5">
        <v>768.2319</v>
      </c>
      <c r="V26" s="5">
        <v>7.45</v>
      </c>
      <c r="W26" s="5">
        <v>7.39</v>
      </c>
      <c r="X26" s="5">
        <f t="shared" si="1"/>
        <v>284.53033333333298</v>
      </c>
      <c r="Y26" s="7">
        <f t="shared" si="2"/>
        <v>1.7115322839704501</v>
      </c>
    </row>
    <row r="27" spans="1:28">
      <c r="A27" s="2" t="s">
        <v>26</v>
      </c>
      <c r="B27" s="2">
        <v>2</v>
      </c>
      <c r="C27" s="3">
        <v>150</v>
      </c>
      <c r="D27" s="2" t="s">
        <v>27</v>
      </c>
      <c r="E27" s="2" t="s">
        <v>53</v>
      </c>
      <c r="F27" s="11">
        <v>11</v>
      </c>
      <c r="G27" s="11">
        <v>18.399999999999999</v>
      </c>
      <c r="H27" s="11">
        <v>618</v>
      </c>
      <c r="I27" s="11">
        <v>428.33333333333297</v>
      </c>
      <c r="J27" s="12">
        <v>5.3633329999999999</v>
      </c>
      <c r="K27" s="12">
        <f t="shared" si="0"/>
        <v>3.4307025127844901</v>
      </c>
      <c r="L27" s="11">
        <v>59.121049999999997</v>
      </c>
      <c r="M27" s="11">
        <v>124.4387</v>
      </c>
      <c r="N27" s="11">
        <v>1.8959790000000001</v>
      </c>
      <c r="O27" s="5">
        <v>2.6419999999999999</v>
      </c>
      <c r="P27" s="5">
        <v>1.827</v>
      </c>
      <c r="Q27" s="5">
        <v>2.4319999999999999</v>
      </c>
      <c r="R27" s="5">
        <v>2.5449999999999999</v>
      </c>
      <c r="S27" s="6">
        <f t="shared" si="4"/>
        <v>4.3719999999999999</v>
      </c>
      <c r="T27" s="5">
        <f t="shared" si="5"/>
        <v>7.0140000000000002</v>
      </c>
      <c r="U27" s="5">
        <v>613.26480000000004</v>
      </c>
      <c r="V27" s="5">
        <v>50.4</v>
      </c>
      <c r="W27" s="5">
        <v>5.83</v>
      </c>
      <c r="X27" s="5">
        <f t="shared" si="1"/>
        <v>252.16480263157899</v>
      </c>
      <c r="Y27" s="7">
        <f t="shared" si="2"/>
        <v>1.65480696442089</v>
      </c>
      <c r="Z27" s="5">
        <v>2.5299999999999998</v>
      </c>
      <c r="AA27" s="5">
        <f>Q27*Z27*100/U27</f>
        <v>1.00331210922264</v>
      </c>
      <c r="AB27" s="8">
        <f t="shared" si="3"/>
        <v>25.3</v>
      </c>
    </row>
    <row r="28" spans="1:28">
      <c r="A28" s="2" t="s">
        <v>26</v>
      </c>
      <c r="B28" s="2">
        <v>2</v>
      </c>
      <c r="C28" s="3">
        <v>150</v>
      </c>
      <c r="D28" s="2" t="s">
        <v>27</v>
      </c>
      <c r="E28" s="2" t="s">
        <v>54</v>
      </c>
      <c r="F28" s="11">
        <v>11.733333333333301</v>
      </c>
      <c r="G28" s="11">
        <v>20.066666666666698</v>
      </c>
      <c r="H28" s="11">
        <v>574.66666666666697</v>
      </c>
      <c r="I28" s="11">
        <v>285</v>
      </c>
      <c r="J28" s="12">
        <v>4.93</v>
      </c>
      <c r="K28" s="12">
        <f t="shared" si="0"/>
        <v>4.07031778228533</v>
      </c>
      <c r="L28" s="11">
        <v>64.852149999999995</v>
      </c>
      <c r="M28" s="11">
        <v>164.04519999999999</v>
      </c>
      <c r="N28" s="11">
        <v>3.6234649999999999</v>
      </c>
      <c r="O28" s="5">
        <v>2.669</v>
      </c>
      <c r="P28" s="5">
        <v>2.5870000000000002</v>
      </c>
      <c r="Q28" s="5">
        <v>2.9889999999999999</v>
      </c>
      <c r="R28" s="5">
        <v>3.1120000000000001</v>
      </c>
      <c r="S28" s="6">
        <f t="shared" si="4"/>
        <v>5.6989999999999998</v>
      </c>
      <c r="T28" s="5">
        <f t="shared" si="5"/>
        <v>8.3680000000000003</v>
      </c>
      <c r="U28" s="5">
        <v>841.40650000000005</v>
      </c>
      <c r="V28" s="5">
        <v>28.5</v>
      </c>
      <c r="W28" s="5">
        <v>6.69</v>
      </c>
      <c r="X28" s="5">
        <f t="shared" si="1"/>
        <v>281.50100368016098</v>
      </c>
      <c r="Y28" s="7">
        <f t="shared" si="2"/>
        <v>2.1352566504308701</v>
      </c>
      <c r="Z28" s="5">
        <v>2.13</v>
      </c>
      <c r="AA28" s="5">
        <f>Q28*Z28*100/U28</f>
        <v>0.756658048161025</v>
      </c>
      <c r="AB28" s="8">
        <f t="shared" si="3"/>
        <v>21.3</v>
      </c>
    </row>
    <row r="29" spans="1:28">
      <c r="A29" s="2" t="s">
        <v>26</v>
      </c>
      <c r="B29" s="2">
        <v>2</v>
      </c>
      <c r="C29" s="3">
        <v>150</v>
      </c>
      <c r="D29" s="2" t="s">
        <v>27</v>
      </c>
      <c r="E29" s="2" t="s">
        <v>55</v>
      </c>
      <c r="F29" s="11">
        <v>10.8</v>
      </c>
      <c r="G29" s="11">
        <v>17.1666666666667</v>
      </c>
      <c r="H29" s="11">
        <v>627</v>
      </c>
      <c r="I29" s="11">
        <v>424.66666666666703</v>
      </c>
      <c r="J29" s="12">
        <v>5.5033329999999996</v>
      </c>
      <c r="K29" s="12">
        <f t="shared" si="0"/>
        <v>3.1193218121939301</v>
      </c>
      <c r="L29" s="11">
        <v>53.075859999999999</v>
      </c>
      <c r="M29" s="11">
        <v>109.07640000000001</v>
      </c>
      <c r="N29" s="11">
        <v>1.5079400000000001</v>
      </c>
      <c r="O29" s="5">
        <v>4.0579999999999998</v>
      </c>
      <c r="P29" s="5">
        <v>2.8530000000000002</v>
      </c>
      <c r="Q29" s="5">
        <v>2.8050000000000002</v>
      </c>
      <c r="R29" s="5">
        <v>2.99</v>
      </c>
      <c r="S29" s="6">
        <f t="shared" si="4"/>
        <v>5.843</v>
      </c>
      <c r="T29" s="5">
        <f t="shared" si="5"/>
        <v>9.9009999999999998</v>
      </c>
      <c r="U29" s="5">
        <v>576.10479999999995</v>
      </c>
      <c r="V29" s="5">
        <v>45.9</v>
      </c>
      <c r="W29" s="5">
        <v>7.31</v>
      </c>
      <c r="X29" s="5">
        <f t="shared" si="1"/>
        <v>205.38495543671999</v>
      </c>
      <c r="Y29" s="7">
        <f t="shared" si="2"/>
        <v>1.43987185805816</v>
      </c>
      <c r="Z29" s="5">
        <v>2.41</v>
      </c>
      <c r="AA29" s="5">
        <f>Q29*Z29*100/U29</f>
        <v>1.17340629690987</v>
      </c>
      <c r="AB29" s="8">
        <f t="shared" si="3"/>
        <v>24.1</v>
      </c>
    </row>
    <row r="30" spans="1:28">
      <c r="A30" s="2" t="s">
        <v>26</v>
      </c>
      <c r="B30" s="2">
        <v>2</v>
      </c>
      <c r="C30" s="3">
        <v>150</v>
      </c>
      <c r="D30" s="2" t="s">
        <v>27</v>
      </c>
      <c r="E30" s="5" t="s">
        <v>56</v>
      </c>
      <c r="G30" s="12"/>
      <c r="I30" s="12"/>
      <c r="J30" s="12"/>
      <c r="K30" s="12"/>
      <c r="L30" s="11"/>
      <c r="O30" s="5">
        <v>1.5309999999999999</v>
      </c>
      <c r="P30" s="5">
        <v>1.01</v>
      </c>
      <c r="Q30" s="5">
        <v>1.982</v>
      </c>
      <c r="R30" s="5">
        <v>2.097</v>
      </c>
      <c r="S30" s="6">
        <f t="shared" si="4"/>
        <v>3.1070000000000002</v>
      </c>
      <c r="T30" s="5">
        <f t="shared" si="5"/>
        <v>4.6379999999999999</v>
      </c>
      <c r="U30" s="5">
        <v>504.82060000000001</v>
      </c>
      <c r="V30" s="5">
        <v>33.299999999999997</v>
      </c>
      <c r="W30" s="5">
        <v>5.46</v>
      </c>
      <c r="X30" s="5">
        <f t="shared" si="1"/>
        <v>254.70262361251301</v>
      </c>
      <c r="Y30" s="7">
        <f t="shared" si="2"/>
        <v>2.0293925538863502</v>
      </c>
    </row>
    <row r="31" spans="1:28">
      <c r="A31" s="2" t="s">
        <v>26</v>
      </c>
      <c r="B31" s="2">
        <v>2</v>
      </c>
      <c r="C31" s="3">
        <v>150</v>
      </c>
      <c r="D31" s="2" t="s">
        <v>27</v>
      </c>
      <c r="E31" s="5" t="s">
        <v>57</v>
      </c>
      <c r="G31" s="12"/>
      <c r="I31" s="12"/>
      <c r="J31" s="12"/>
      <c r="K31" s="12"/>
      <c r="L31" s="11"/>
      <c r="O31" s="5">
        <v>2.4289999999999998</v>
      </c>
      <c r="P31" s="5">
        <v>1.6890000000000001</v>
      </c>
      <c r="Q31" s="5">
        <v>2.9140000000000001</v>
      </c>
      <c r="R31" s="5">
        <v>3.0630000000000002</v>
      </c>
      <c r="S31" s="6">
        <f t="shared" si="4"/>
        <v>4.7519999999999998</v>
      </c>
      <c r="T31" s="5">
        <f t="shared" si="5"/>
        <v>7.181</v>
      </c>
      <c r="U31" s="5">
        <v>691.6377</v>
      </c>
      <c r="V31" s="5">
        <v>46.6</v>
      </c>
      <c r="W31" s="5">
        <v>6.4</v>
      </c>
      <c r="X31" s="5">
        <f t="shared" si="1"/>
        <v>237.34993136582</v>
      </c>
      <c r="Y31" s="7">
        <f t="shared" si="2"/>
        <v>1.9563606422396</v>
      </c>
    </row>
    <row r="32" spans="1:28">
      <c r="A32" s="2" t="s">
        <v>26</v>
      </c>
      <c r="B32" s="2">
        <v>1</v>
      </c>
      <c r="C32" s="3">
        <v>220</v>
      </c>
      <c r="D32" s="2" t="s">
        <v>27</v>
      </c>
      <c r="E32" s="2" t="s">
        <v>58</v>
      </c>
      <c r="F32" s="11">
        <v>12.966666666666701</v>
      </c>
      <c r="G32" s="11">
        <v>20.466666666666701</v>
      </c>
      <c r="H32" s="11">
        <v>632.33333333333303</v>
      </c>
      <c r="I32" s="11">
        <v>627</v>
      </c>
      <c r="J32" s="12">
        <v>6.45</v>
      </c>
      <c r="K32" s="12">
        <f t="shared" si="0"/>
        <v>3.1731266149870798</v>
      </c>
      <c r="L32" s="11">
        <v>63.711039999999997</v>
      </c>
      <c r="M32" s="4">
        <v>142.99299999999999</v>
      </c>
      <c r="N32" s="4">
        <v>2.2270629999999998</v>
      </c>
      <c r="O32" s="5">
        <v>3.1139999999999999</v>
      </c>
      <c r="P32" s="5">
        <v>3.22</v>
      </c>
      <c r="Q32" s="5">
        <v>3.2269999999999999</v>
      </c>
      <c r="R32" s="5">
        <v>3.4119999999999999</v>
      </c>
      <c r="S32" s="6">
        <f t="shared" si="4"/>
        <v>6.6319999999999997</v>
      </c>
      <c r="T32" s="5">
        <f t="shared" si="5"/>
        <v>9.7460000000000004</v>
      </c>
      <c r="U32" s="5">
        <v>896.40970000000004</v>
      </c>
      <c r="V32" s="5">
        <v>65.8</v>
      </c>
      <c r="W32" s="17">
        <v>7.8</v>
      </c>
      <c r="X32" s="5">
        <f t="shared" si="1"/>
        <v>277.78422683607101</v>
      </c>
      <c r="Y32" s="7">
        <f t="shared" si="2"/>
        <v>2.1297366730892699</v>
      </c>
      <c r="Z32" s="5">
        <v>3.2</v>
      </c>
      <c r="AA32" s="5">
        <f>Q32*Z32*100/U32</f>
        <v>1.1519732550863699</v>
      </c>
      <c r="AB32" s="8">
        <f t="shared" si="3"/>
        <v>32</v>
      </c>
    </row>
    <row r="33" spans="1:34">
      <c r="A33" s="2" t="s">
        <v>26</v>
      </c>
      <c r="B33" s="2">
        <v>1</v>
      </c>
      <c r="C33" s="3">
        <v>220</v>
      </c>
      <c r="D33" s="2" t="s">
        <v>27</v>
      </c>
      <c r="E33" s="2" t="s">
        <v>59</v>
      </c>
      <c r="F33" s="11">
        <v>10.9333333333333</v>
      </c>
      <c r="G33" s="11">
        <v>18.233333333333299</v>
      </c>
      <c r="H33" s="11">
        <v>588.66666666666697</v>
      </c>
      <c r="I33" s="11">
        <v>288.66666666666703</v>
      </c>
      <c r="J33" s="12">
        <v>4.0833329999999997</v>
      </c>
      <c r="K33" s="12">
        <f t="shared" si="0"/>
        <v>4.4653064869637999</v>
      </c>
      <c r="L33" s="11">
        <v>54.301540000000003</v>
      </c>
      <c r="M33" s="11">
        <v>118.6867</v>
      </c>
      <c r="N33" s="11">
        <v>1.6835340000000001</v>
      </c>
      <c r="O33" s="5">
        <v>4.2240000000000002</v>
      </c>
      <c r="P33" s="5">
        <v>3.94</v>
      </c>
      <c r="Q33" s="5">
        <v>3.3969999999999998</v>
      </c>
      <c r="R33" s="5">
        <v>3.6110000000000002</v>
      </c>
      <c r="S33" s="6">
        <f t="shared" si="4"/>
        <v>7.5510000000000002</v>
      </c>
      <c r="T33" s="5">
        <f t="shared" si="5"/>
        <v>11.775</v>
      </c>
      <c r="U33" s="5">
        <v>824.00710000000004</v>
      </c>
      <c r="V33" s="5">
        <v>57</v>
      </c>
      <c r="W33" s="5">
        <v>8.06</v>
      </c>
      <c r="X33" s="5">
        <f t="shared" si="1"/>
        <v>242.56906093612</v>
      </c>
      <c r="Y33" s="7">
        <f t="shared" si="2"/>
        <v>1.7876420454545501</v>
      </c>
      <c r="Z33" s="5">
        <v>2.54</v>
      </c>
      <c r="AA33" s="5">
        <f>Q33*Z33*100/U33</f>
        <v>1.0471244725925299</v>
      </c>
      <c r="AB33" s="8">
        <f t="shared" si="3"/>
        <v>25.4</v>
      </c>
    </row>
    <row r="34" spans="1:34">
      <c r="A34" s="2" t="s">
        <v>26</v>
      </c>
      <c r="B34" s="2">
        <v>1</v>
      </c>
      <c r="C34" s="3">
        <v>220</v>
      </c>
      <c r="D34" s="2" t="s">
        <v>27</v>
      </c>
      <c r="E34" s="2" t="s">
        <v>60</v>
      </c>
      <c r="F34" s="11">
        <v>13.1</v>
      </c>
      <c r="G34" s="11">
        <v>20.1666666666667</v>
      </c>
      <c r="H34" s="11">
        <v>605.33333333333303</v>
      </c>
      <c r="I34" s="11">
        <v>389.33333333333297</v>
      </c>
      <c r="J34" s="12">
        <v>5.1033330000000001</v>
      </c>
      <c r="K34" s="12">
        <f t="shared" si="0"/>
        <v>3.9516658361636701</v>
      </c>
      <c r="L34" s="11">
        <v>71.239199999999997</v>
      </c>
      <c r="M34" s="11">
        <v>125.46259999999999</v>
      </c>
      <c r="N34" s="11">
        <v>1.8681829999999999</v>
      </c>
      <c r="O34" s="5">
        <v>4.4610000000000003</v>
      </c>
      <c r="P34" s="5">
        <v>3.056</v>
      </c>
      <c r="Q34" s="5">
        <v>2.8039999999999998</v>
      </c>
      <c r="R34" s="5">
        <v>2.9780000000000002</v>
      </c>
      <c r="S34" s="6">
        <f t="shared" si="4"/>
        <v>6.0339999999999998</v>
      </c>
      <c r="T34" s="5">
        <f t="shared" si="5"/>
        <v>10.494999999999999</v>
      </c>
      <c r="U34" s="5">
        <v>743.28099999999995</v>
      </c>
      <c r="V34" s="5">
        <v>45.8</v>
      </c>
      <c r="W34" s="5">
        <v>7.27</v>
      </c>
      <c r="X34" s="5">
        <f t="shared" si="1"/>
        <v>265.078815977175</v>
      </c>
      <c r="Y34" s="7">
        <f t="shared" si="2"/>
        <v>1.3526115220802499</v>
      </c>
      <c r="Z34" s="5">
        <v>2.99</v>
      </c>
      <c r="AA34" s="5">
        <f>Q34*Z34*100/U34</f>
        <v>1.12796640839736</v>
      </c>
      <c r="AB34" s="8">
        <f t="shared" si="3"/>
        <v>29.9</v>
      </c>
      <c r="AC34" s="5"/>
      <c r="AD34" s="5"/>
      <c r="AE34" s="5"/>
      <c r="AF34" s="5"/>
      <c r="AG34" s="5"/>
      <c r="AH34" s="5"/>
    </row>
    <row r="35" spans="1:34">
      <c r="A35" s="2" t="s">
        <v>26</v>
      </c>
      <c r="B35" s="2">
        <v>1</v>
      </c>
      <c r="C35" s="3">
        <v>220</v>
      </c>
      <c r="D35" s="2" t="s">
        <v>27</v>
      </c>
      <c r="E35" s="5" t="s">
        <v>61</v>
      </c>
      <c r="G35" s="12"/>
      <c r="I35" s="12"/>
      <c r="J35" s="12"/>
      <c r="K35" s="12"/>
      <c r="L35" s="11"/>
      <c r="M35" s="15"/>
      <c r="N35" s="15"/>
      <c r="O35" s="5">
        <v>2.9550000000000001</v>
      </c>
      <c r="P35" s="5">
        <v>3.0979999999999999</v>
      </c>
      <c r="Q35" s="5">
        <v>4.0439999999999996</v>
      </c>
      <c r="R35" s="5">
        <v>4.25</v>
      </c>
      <c r="S35" s="6">
        <f t="shared" si="4"/>
        <v>7.3479999999999999</v>
      </c>
      <c r="T35" s="5">
        <f t="shared" si="5"/>
        <v>10.303000000000001</v>
      </c>
      <c r="U35" s="5">
        <v>1147.1600000000001</v>
      </c>
      <c r="V35" s="5">
        <v>70</v>
      </c>
      <c r="W35" s="5">
        <v>6.99</v>
      </c>
      <c r="X35" s="5">
        <f t="shared" si="1"/>
        <v>283.66963402571702</v>
      </c>
      <c r="Y35" s="7">
        <f t="shared" si="2"/>
        <v>2.4866328257191199</v>
      </c>
      <c r="Z35" s="2"/>
      <c r="AA35" s="2"/>
      <c r="AC35" s="5"/>
      <c r="AD35" s="5"/>
      <c r="AE35" s="5"/>
      <c r="AF35" s="5"/>
      <c r="AG35" s="5"/>
      <c r="AH35" s="5"/>
    </row>
    <row r="36" spans="1:34">
      <c r="A36" s="2" t="s">
        <v>26</v>
      </c>
      <c r="B36" s="2">
        <v>1</v>
      </c>
      <c r="C36" s="3">
        <v>220</v>
      </c>
      <c r="D36" s="2" t="s">
        <v>27</v>
      </c>
      <c r="E36" s="5" t="s">
        <v>62</v>
      </c>
      <c r="G36" s="12"/>
      <c r="I36" s="12"/>
      <c r="J36" s="12"/>
      <c r="K36" s="12"/>
      <c r="L36" s="11"/>
      <c r="O36" s="5">
        <v>3.923</v>
      </c>
      <c r="P36" s="5">
        <v>3.6970000000000001</v>
      </c>
      <c r="Q36" s="5">
        <v>3.266</v>
      </c>
      <c r="R36" s="5">
        <v>3.4590000000000001</v>
      </c>
      <c r="S36" s="6">
        <f t="shared" si="4"/>
        <v>7.1559999999999997</v>
      </c>
      <c r="T36" s="5">
        <f t="shared" si="5"/>
        <v>11.079000000000001</v>
      </c>
      <c r="U36" s="5">
        <v>930.28240000000005</v>
      </c>
      <c r="V36" s="5">
        <v>71.5</v>
      </c>
      <c r="W36" s="5">
        <v>8.0399999999999991</v>
      </c>
      <c r="X36" s="5">
        <f t="shared" si="1"/>
        <v>284.83845682792401</v>
      </c>
      <c r="Y36" s="7">
        <f t="shared" si="2"/>
        <v>1.8241141983176099</v>
      </c>
      <c r="Z36" s="2"/>
      <c r="AA36" s="2"/>
      <c r="AC36" s="5"/>
      <c r="AD36" s="5"/>
      <c r="AE36" s="5"/>
      <c r="AF36" s="5"/>
      <c r="AG36" s="5"/>
      <c r="AH36" s="5"/>
    </row>
    <row r="37" spans="1:34">
      <c r="A37" s="2" t="s">
        <v>26</v>
      </c>
      <c r="B37" s="2">
        <v>2</v>
      </c>
      <c r="C37" s="3">
        <v>220</v>
      </c>
      <c r="D37" s="2" t="s">
        <v>27</v>
      </c>
      <c r="E37" s="2" t="s">
        <v>63</v>
      </c>
      <c r="F37" s="11">
        <v>15.5</v>
      </c>
      <c r="G37" s="11">
        <v>24.366666666666699</v>
      </c>
      <c r="H37" s="11">
        <v>595</v>
      </c>
      <c r="I37" s="11">
        <v>453.66666666666703</v>
      </c>
      <c r="J37" s="12">
        <v>6.1566669999999997</v>
      </c>
      <c r="K37" s="12">
        <f t="shared" si="0"/>
        <v>3.9577691414310099</v>
      </c>
      <c r="L37" s="11">
        <v>77.592439999999996</v>
      </c>
      <c r="M37" s="11">
        <v>184.6317</v>
      </c>
      <c r="N37" s="11">
        <v>1.724634</v>
      </c>
      <c r="O37" s="5">
        <v>2.9409999999999998</v>
      </c>
      <c r="P37" s="5">
        <v>3.08</v>
      </c>
      <c r="Q37" s="5">
        <v>3.2189999999999999</v>
      </c>
      <c r="R37" s="5">
        <v>3.4329999999999998</v>
      </c>
      <c r="S37" s="6">
        <f t="shared" si="4"/>
        <v>6.5129999999999999</v>
      </c>
      <c r="T37" s="5">
        <f t="shared" si="5"/>
        <v>9.4540000000000006</v>
      </c>
      <c r="U37" s="5">
        <v>945.4375</v>
      </c>
      <c r="V37" s="5">
        <v>67</v>
      </c>
      <c r="W37" s="5">
        <v>7.64</v>
      </c>
      <c r="X37" s="5">
        <f t="shared" si="1"/>
        <v>293.70534327430897</v>
      </c>
      <c r="Y37" s="7">
        <f t="shared" si="2"/>
        <v>2.2145528731723898</v>
      </c>
      <c r="Z37" s="5">
        <v>2.98</v>
      </c>
      <c r="AA37" s="5">
        <f>Q37*Z37*100/U37</f>
        <v>1.0146223309314499</v>
      </c>
      <c r="AB37" s="8">
        <f t="shared" ref="AB37:AB69" si="6">Z37*10</f>
        <v>29.8</v>
      </c>
    </row>
    <row r="38" spans="1:34">
      <c r="A38" s="2" t="s">
        <v>26</v>
      </c>
      <c r="B38" s="2">
        <v>2</v>
      </c>
      <c r="C38" s="3">
        <v>220</v>
      </c>
      <c r="D38" s="2" t="s">
        <v>27</v>
      </c>
      <c r="E38" s="2" t="s">
        <v>64</v>
      </c>
      <c r="F38" s="11">
        <v>11.2</v>
      </c>
      <c r="G38" s="11">
        <v>19.366666666666699</v>
      </c>
      <c r="H38" s="11">
        <v>595</v>
      </c>
      <c r="I38" s="11">
        <v>350</v>
      </c>
      <c r="J38" s="12">
        <v>5.4566670000000004</v>
      </c>
      <c r="K38" s="12">
        <f t="shared" si="0"/>
        <v>3.5491751038988899</v>
      </c>
      <c r="L38" s="11">
        <v>65.946349999999995</v>
      </c>
      <c r="M38" s="11">
        <v>139.70240000000001</v>
      </c>
      <c r="N38" s="11">
        <v>2.412032</v>
      </c>
      <c r="O38" s="5">
        <v>4.0330000000000004</v>
      </c>
      <c r="P38" s="5">
        <v>2.7160000000000002</v>
      </c>
      <c r="Q38" s="5">
        <v>3.2789999999999999</v>
      </c>
      <c r="R38" s="5">
        <v>3.4470000000000001</v>
      </c>
      <c r="S38" s="6">
        <f t="shared" si="4"/>
        <v>6.1630000000000003</v>
      </c>
      <c r="T38" s="5">
        <f t="shared" si="5"/>
        <v>10.196</v>
      </c>
      <c r="U38" s="5">
        <v>877.1345</v>
      </c>
      <c r="V38" s="18">
        <v>61</v>
      </c>
      <c r="W38" s="5">
        <v>7.33</v>
      </c>
      <c r="X38" s="5">
        <f t="shared" si="1"/>
        <v>267.50060994205597</v>
      </c>
      <c r="Y38" s="7">
        <f t="shared" si="2"/>
        <v>1.5281428217208</v>
      </c>
      <c r="Z38" s="5">
        <v>2.86</v>
      </c>
      <c r="AA38" s="5">
        <f>Q38*Z38*100/U38</f>
        <v>1.0691564406598999</v>
      </c>
      <c r="AB38" s="8">
        <f t="shared" si="6"/>
        <v>28.6</v>
      </c>
    </row>
    <row r="39" spans="1:34">
      <c r="A39" s="2" t="s">
        <v>26</v>
      </c>
      <c r="B39" s="2">
        <v>2</v>
      </c>
      <c r="C39" s="3">
        <v>220</v>
      </c>
      <c r="D39" s="2" t="s">
        <v>27</v>
      </c>
      <c r="E39" s="2" t="s">
        <v>65</v>
      </c>
      <c r="F39" s="11">
        <v>13.266666666666699</v>
      </c>
      <c r="G39" s="11">
        <v>21.133333333333301</v>
      </c>
      <c r="H39" s="11">
        <v>628</v>
      </c>
      <c r="I39" s="11">
        <v>594</v>
      </c>
      <c r="J39" s="12">
        <v>5.9633330000000004</v>
      </c>
      <c r="K39" s="12">
        <f t="shared" si="0"/>
        <v>3.5438794602503898</v>
      </c>
      <c r="L39" s="11">
        <v>63.907060000000001</v>
      </c>
      <c r="M39" s="11">
        <v>141.16640000000001</v>
      </c>
      <c r="N39" s="11">
        <v>1.6892119999999999</v>
      </c>
      <c r="O39" s="5">
        <v>4.4580000000000002</v>
      </c>
      <c r="P39" s="5">
        <v>3.984</v>
      </c>
      <c r="Q39" s="5">
        <v>4.5599999999999996</v>
      </c>
      <c r="R39" s="5">
        <v>4.8159999999999998</v>
      </c>
      <c r="S39" s="6">
        <f t="shared" si="4"/>
        <v>8.8000000000000007</v>
      </c>
      <c r="T39" s="5">
        <f t="shared" si="5"/>
        <v>13.257999999999999</v>
      </c>
      <c r="U39" s="5">
        <v>1122.5500999999999</v>
      </c>
      <c r="V39" s="5">
        <v>72.8</v>
      </c>
      <c r="W39" s="5">
        <v>8.2799999999999994</v>
      </c>
      <c r="X39" s="5">
        <f t="shared" si="1"/>
        <v>246.17326754385999</v>
      </c>
      <c r="Y39" s="7">
        <f t="shared" si="2"/>
        <v>1.97397936294302</v>
      </c>
      <c r="Z39" s="5">
        <v>2.09</v>
      </c>
      <c r="AA39" s="5">
        <f>Q39*Z39*100/U39</f>
        <v>0.84899551476588897</v>
      </c>
      <c r="AB39" s="8">
        <f t="shared" si="6"/>
        <v>20.9</v>
      </c>
    </row>
    <row r="40" spans="1:34">
      <c r="A40" s="2" t="s">
        <v>26</v>
      </c>
      <c r="B40" s="2">
        <v>2</v>
      </c>
      <c r="C40" s="3">
        <v>220</v>
      </c>
      <c r="D40" s="2" t="s">
        <v>27</v>
      </c>
      <c r="E40" s="5" t="s">
        <v>66</v>
      </c>
      <c r="G40" s="12"/>
      <c r="I40" s="12"/>
      <c r="J40" s="12"/>
      <c r="K40" s="12"/>
      <c r="O40" s="5">
        <v>3.9239999999999999</v>
      </c>
      <c r="P40" s="5">
        <v>3.8420000000000001</v>
      </c>
      <c r="Q40" s="5">
        <v>4.5270000000000001</v>
      </c>
      <c r="R40" s="5">
        <v>4.7709999999999999</v>
      </c>
      <c r="S40" s="6">
        <f t="shared" si="4"/>
        <v>8.6129999999999995</v>
      </c>
      <c r="T40" s="5">
        <f t="shared" si="5"/>
        <v>12.537000000000001</v>
      </c>
      <c r="U40" s="5">
        <v>1031.1656</v>
      </c>
      <c r="V40" s="5">
        <v>61.6</v>
      </c>
      <c r="W40" s="5">
        <v>8.3699999999999992</v>
      </c>
      <c r="X40" s="5">
        <f t="shared" si="1"/>
        <v>227.78122376850001</v>
      </c>
      <c r="Y40" s="7">
        <f t="shared" si="2"/>
        <v>2.19495412844037</v>
      </c>
    </row>
    <row r="41" spans="1:34">
      <c r="A41" s="2" t="s">
        <v>26</v>
      </c>
      <c r="B41" s="2">
        <v>2</v>
      </c>
      <c r="C41" s="3">
        <v>220</v>
      </c>
      <c r="D41" s="2" t="s">
        <v>27</v>
      </c>
      <c r="E41" s="5" t="s">
        <v>67</v>
      </c>
      <c r="G41" s="12"/>
      <c r="I41" s="12"/>
      <c r="J41" s="12"/>
      <c r="K41" s="12"/>
      <c r="O41" s="5">
        <v>3.0859999999999999</v>
      </c>
      <c r="P41" s="5">
        <v>2.61</v>
      </c>
      <c r="Q41" s="5">
        <v>3.63</v>
      </c>
      <c r="R41" s="5">
        <v>3.8420000000000001</v>
      </c>
      <c r="S41" s="6">
        <f t="shared" si="4"/>
        <v>6.452</v>
      </c>
      <c r="T41" s="5">
        <f t="shared" si="5"/>
        <v>9.5380000000000003</v>
      </c>
      <c r="U41" s="5">
        <v>1050.2582</v>
      </c>
      <c r="V41" s="5">
        <v>58.6</v>
      </c>
      <c r="W41" s="5">
        <v>7.43</v>
      </c>
      <c r="X41" s="5">
        <f t="shared" si="1"/>
        <v>289.32732782369101</v>
      </c>
      <c r="Y41" s="7">
        <f t="shared" si="2"/>
        <v>2.09073233959819</v>
      </c>
    </row>
    <row r="42" spans="1:34">
      <c r="A42" s="2" t="s">
        <v>26</v>
      </c>
      <c r="B42" s="2">
        <v>1</v>
      </c>
      <c r="C42" s="3">
        <v>290</v>
      </c>
      <c r="D42" s="2" t="s">
        <v>27</v>
      </c>
      <c r="E42" s="2" t="s">
        <v>68</v>
      </c>
      <c r="F42" s="11">
        <v>12.3</v>
      </c>
      <c r="G42" s="11">
        <v>20.366666666666699</v>
      </c>
      <c r="H42" s="11">
        <v>539.33333333333303</v>
      </c>
      <c r="I42" s="11">
        <v>231</v>
      </c>
      <c r="J42" s="12">
        <v>4.2033329999999998</v>
      </c>
      <c r="K42" s="12">
        <f t="shared" si="0"/>
        <v>4.8453612089897904</v>
      </c>
      <c r="L42" s="11">
        <v>79.06026</v>
      </c>
      <c r="M42" s="11">
        <v>140.5205</v>
      </c>
      <c r="N42" s="11">
        <v>1.91442</v>
      </c>
      <c r="O42" s="5">
        <v>4.5880000000000001</v>
      </c>
      <c r="P42" s="5">
        <v>6.4589999999999996</v>
      </c>
      <c r="Q42" s="5">
        <v>5.0179999999999998</v>
      </c>
      <c r="R42" s="5">
        <v>5.3140000000000001</v>
      </c>
      <c r="S42" s="6">
        <f t="shared" si="4"/>
        <v>11.773</v>
      </c>
      <c r="T42" s="5">
        <f t="shared" si="5"/>
        <v>16.361000000000001</v>
      </c>
      <c r="U42" s="5">
        <v>1418.816</v>
      </c>
      <c r="V42" s="5">
        <v>96.5</v>
      </c>
      <c r="W42" s="5">
        <v>8.3699999999999992</v>
      </c>
      <c r="X42" s="5">
        <f t="shared" si="1"/>
        <v>282.74531685930702</v>
      </c>
      <c r="Y42" s="7">
        <f t="shared" si="2"/>
        <v>2.5660418482999101</v>
      </c>
      <c r="Z42" s="5">
        <v>2.81</v>
      </c>
      <c r="AA42" s="5">
        <f>Q42*Z42*100/U42</f>
        <v>0.99382724750778095</v>
      </c>
      <c r="AB42" s="8">
        <f t="shared" si="6"/>
        <v>28.1</v>
      </c>
    </row>
    <row r="43" spans="1:34">
      <c r="A43" s="2" t="s">
        <v>26</v>
      </c>
      <c r="B43" s="2">
        <v>1</v>
      </c>
      <c r="C43" s="3">
        <v>290</v>
      </c>
      <c r="D43" s="2" t="s">
        <v>27</v>
      </c>
      <c r="E43" s="2" t="s">
        <v>69</v>
      </c>
      <c r="F43" s="11">
        <v>12.9</v>
      </c>
      <c r="G43" s="11">
        <v>19.899999999999999</v>
      </c>
      <c r="H43" s="11">
        <v>587.33333333333303</v>
      </c>
      <c r="I43" s="11">
        <v>325</v>
      </c>
      <c r="J43" s="12">
        <v>4.6666670000000003</v>
      </c>
      <c r="K43" s="12">
        <f t="shared" si="0"/>
        <v>4.2642854096939002</v>
      </c>
      <c r="L43" s="11">
        <v>70.471440000000001</v>
      </c>
      <c r="M43" s="11">
        <v>127.7911</v>
      </c>
      <c r="N43" s="11">
        <v>1.819593</v>
      </c>
      <c r="O43" s="5">
        <v>4.7560000000000002</v>
      </c>
      <c r="P43" s="5">
        <v>5.0270000000000001</v>
      </c>
      <c r="Q43" s="5">
        <v>4.8250000000000002</v>
      </c>
      <c r="R43" s="5">
        <v>5.1289999999999996</v>
      </c>
      <c r="S43" s="6">
        <f t="shared" si="4"/>
        <v>10.156000000000001</v>
      </c>
      <c r="T43" s="5">
        <f t="shared" si="5"/>
        <v>14.912000000000001</v>
      </c>
      <c r="U43" s="5">
        <v>1285.6697999999999</v>
      </c>
      <c r="V43" s="5">
        <v>75.2</v>
      </c>
      <c r="W43" s="5">
        <v>9.5500000000000007</v>
      </c>
      <c r="X43" s="5">
        <f t="shared" si="1"/>
        <v>266.46006217616599</v>
      </c>
      <c r="Y43" s="7">
        <f t="shared" si="2"/>
        <v>2.1354079058031998</v>
      </c>
      <c r="Z43" s="5">
        <v>3.35</v>
      </c>
      <c r="AA43" s="5">
        <f>Q43*Z43*100/U43</f>
        <v>1.25722405550788</v>
      </c>
      <c r="AB43" s="8">
        <f t="shared" si="6"/>
        <v>33.5</v>
      </c>
    </row>
    <row r="44" spans="1:34">
      <c r="A44" s="2" t="s">
        <v>26</v>
      </c>
      <c r="B44" s="2">
        <v>1</v>
      </c>
      <c r="C44" s="3">
        <v>290</v>
      </c>
      <c r="D44" s="2" t="s">
        <v>27</v>
      </c>
      <c r="E44" s="2" t="s">
        <v>70</v>
      </c>
      <c r="F44" s="11">
        <v>13.533333333333299</v>
      </c>
      <c r="G44" s="11">
        <v>20.866666666666699</v>
      </c>
      <c r="H44" s="11">
        <v>614.33333333333303</v>
      </c>
      <c r="I44" s="11">
        <v>469.33333333333297</v>
      </c>
      <c r="J44" s="12">
        <v>5.77</v>
      </c>
      <c r="K44" s="12">
        <f t="shared" si="0"/>
        <v>3.6164067013287098</v>
      </c>
      <c r="L44" s="11">
        <v>71.564970000000002</v>
      </c>
      <c r="M44" s="11">
        <v>137.3083</v>
      </c>
      <c r="N44" s="11">
        <v>1.994159</v>
      </c>
      <c r="O44" s="5">
        <v>4.1260000000000003</v>
      </c>
      <c r="P44" s="5">
        <v>6.157</v>
      </c>
      <c r="Q44" s="5">
        <v>5.0919999999999996</v>
      </c>
      <c r="R44" s="5">
        <v>5.4219999999999997</v>
      </c>
      <c r="S44" s="6">
        <f t="shared" si="4"/>
        <v>11.579000000000001</v>
      </c>
      <c r="T44" s="5">
        <f t="shared" si="5"/>
        <v>15.705</v>
      </c>
      <c r="U44" s="5">
        <v>1268.7157</v>
      </c>
      <c r="V44" s="5">
        <v>86.5</v>
      </c>
      <c r="W44" s="5">
        <v>10.06</v>
      </c>
      <c r="X44" s="5">
        <f t="shared" si="1"/>
        <v>249.15862136685001</v>
      </c>
      <c r="Y44" s="7">
        <f t="shared" si="2"/>
        <v>2.80634997576345</v>
      </c>
      <c r="Z44" s="5">
        <v>3.12</v>
      </c>
      <c r="AA44" s="5">
        <f>Q44*Z44*100/U44</f>
        <v>1.25221434557797</v>
      </c>
      <c r="AB44" s="8">
        <f t="shared" si="6"/>
        <v>31.2</v>
      </c>
    </row>
    <row r="45" spans="1:34">
      <c r="A45" s="2" t="s">
        <v>26</v>
      </c>
      <c r="B45" s="2">
        <v>1</v>
      </c>
      <c r="C45" s="3">
        <v>290</v>
      </c>
      <c r="D45" s="2" t="s">
        <v>27</v>
      </c>
      <c r="E45" s="5" t="s">
        <v>71</v>
      </c>
      <c r="G45" s="12"/>
      <c r="I45" s="12"/>
      <c r="J45" s="12"/>
      <c r="K45" s="12"/>
      <c r="O45" s="5">
        <v>4.476</v>
      </c>
      <c r="P45" s="5">
        <v>6.4870000000000001</v>
      </c>
      <c r="Q45" s="5">
        <v>5.81</v>
      </c>
      <c r="R45" s="5">
        <v>6.1210000000000004</v>
      </c>
      <c r="S45" s="6">
        <f t="shared" si="4"/>
        <v>12.608000000000001</v>
      </c>
      <c r="T45" s="5">
        <f t="shared" si="5"/>
        <v>17.084</v>
      </c>
      <c r="U45" s="5">
        <v>1691.2334000000001</v>
      </c>
      <c r="V45" s="5">
        <v>93.2</v>
      </c>
      <c r="W45" s="5">
        <v>9.2799999999999994</v>
      </c>
      <c r="X45" s="5">
        <f t="shared" si="1"/>
        <v>291.09008605852</v>
      </c>
      <c r="Y45" s="7">
        <f t="shared" si="2"/>
        <v>2.8168007149240402</v>
      </c>
      <c r="Z45" s="2"/>
      <c r="AA45" s="2"/>
    </row>
    <row r="46" spans="1:34">
      <c r="A46" s="2" t="s">
        <v>26</v>
      </c>
      <c r="B46" s="2">
        <v>1</v>
      </c>
      <c r="C46" s="3">
        <v>290</v>
      </c>
      <c r="D46" s="2" t="s">
        <v>27</v>
      </c>
      <c r="E46" s="5" t="s">
        <v>72</v>
      </c>
      <c r="G46" s="12"/>
      <c r="I46" s="12"/>
      <c r="J46" s="12"/>
      <c r="K46" s="12"/>
      <c r="L46" s="11"/>
      <c r="O46" s="5">
        <v>3.2029999999999998</v>
      </c>
      <c r="P46" s="5">
        <v>4.3970000000000002</v>
      </c>
      <c r="Q46" s="5">
        <v>4.6420000000000003</v>
      </c>
      <c r="R46" s="5">
        <v>4.9349999999999996</v>
      </c>
      <c r="S46" s="6">
        <f t="shared" si="4"/>
        <v>9.3320000000000007</v>
      </c>
      <c r="T46" s="5">
        <f t="shared" si="5"/>
        <v>12.535</v>
      </c>
      <c r="U46" s="5">
        <v>1526.5471</v>
      </c>
      <c r="V46" s="5">
        <v>75.2</v>
      </c>
      <c r="W46" s="5">
        <v>8.17</v>
      </c>
      <c r="X46" s="5">
        <f t="shared" si="1"/>
        <v>328.85547177940498</v>
      </c>
      <c r="Y46" s="7">
        <f t="shared" si="2"/>
        <v>2.91351857633469</v>
      </c>
      <c r="Z46" s="2"/>
      <c r="AA46" s="2"/>
    </row>
    <row r="47" spans="1:34">
      <c r="A47" s="2" t="s">
        <v>26</v>
      </c>
      <c r="B47" s="2">
        <v>2</v>
      </c>
      <c r="C47" s="3">
        <v>290</v>
      </c>
      <c r="D47" s="2" t="s">
        <v>27</v>
      </c>
      <c r="E47" s="2" t="s">
        <v>73</v>
      </c>
      <c r="F47" s="11">
        <v>13.2</v>
      </c>
      <c r="G47" s="11">
        <v>20.733333333333299</v>
      </c>
      <c r="H47" s="11">
        <v>605.33333333333303</v>
      </c>
      <c r="I47" s="11">
        <v>438.66666666666703</v>
      </c>
      <c r="J47" s="12">
        <v>5.61</v>
      </c>
      <c r="K47" s="12">
        <f t="shared" si="0"/>
        <v>3.6957813428401698</v>
      </c>
      <c r="L47" s="11">
        <v>69.650720000000007</v>
      </c>
      <c r="M47" s="11">
        <v>133.2698</v>
      </c>
      <c r="N47" s="11">
        <v>1.4420599999999999</v>
      </c>
      <c r="O47" s="5">
        <v>4.2350000000000003</v>
      </c>
      <c r="P47" s="5">
        <v>5.0960000000000001</v>
      </c>
      <c r="Q47" s="5">
        <v>5.2409999999999997</v>
      </c>
      <c r="R47" s="5">
        <v>5.5060000000000002</v>
      </c>
      <c r="S47" s="6">
        <f t="shared" si="4"/>
        <v>10.602</v>
      </c>
      <c r="T47" s="5">
        <f t="shared" si="5"/>
        <v>14.837</v>
      </c>
      <c r="U47" s="5">
        <v>1437.8705</v>
      </c>
      <c r="V47" s="5">
        <v>73.2</v>
      </c>
      <c r="W47" s="5">
        <v>9.1199999999999992</v>
      </c>
      <c r="X47" s="5">
        <f t="shared" si="1"/>
        <v>274.35041022705599</v>
      </c>
      <c r="Y47" s="7">
        <f t="shared" si="2"/>
        <v>2.50342384887839</v>
      </c>
      <c r="Z47" s="5">
        <v>2.74</v>
      </c>
      <c r="AA47" s="5">
        <f>Q47*Z47*100/U47</f>
        <v>0.99872276397631099</v>
      </c>
      <c r="AB47" s="8">
        <f t="shared" si="6"/>
        <v>27.4</v>
      </c>
    </row>
    <row r="48" spans="1:34">
      <c r="A48" s="2" t="s">
        <v>26</v>
      </c>
      <c r="B48" s="2">
        <v>2</v>
      </c>
      <c r="C48" s="3">
        <v>290</v>
      </c>
      <c r="D48" s="2" t="s">
        <v>27</v>
      </c>
      <c r="E48" s="2" t="s">
        <v>74</v>
      </c>
      <c r="F48" s="11">
        <v>14.2</v>
      </c>
      <c r="G48" s="11">
        <v>22.1</v>
      </c>
      <c r="H48" s="11">
        <v>567.66666666666697</v>
      </c>
      <c r="I48" s="11">
        <v>292.66666666666703</v>
      </c>
      <c r="J48" s="12">
        <v>3.79</v>
      </c>
      <c r="K48" s="12">
        <f t="shared" si="0"/>
        <v>5.8311345646437998</v>
      </c>
      <c r="L48" s="11">
        <v>61.575699999999998</v>
      </c>
      <c r="M48" s="11">
        <v>158.9076</v>
      </c>
      <c r="N48" s="11">
        <v>2.279712</v>
      </c>
      <c r="O48" s="5">
        <v>4.3719999999999999</v>
      </c>
      <c r="P48" s="5">
        <v>5.1459999999999999</v>
      </c>
      <c r="Q48" s="5">
        <v>5.1840000000000002</v>
      </c>
      <c r="R48" s="5">
        <v>5.4740000000000002</v>
      </c>
      <c r="S48" s="6">
        <f t="shared" si="4"/>
        <v>10.62</v>
      </c>
      <c r="T48" s="5">
        <f t="shared" si="5"/>
        <v>14.992000000000001</v>
      </c>
      <c r="U48" s="5">
        <v>1507.5972999999999</v>
      </c>
      <c r="V48" s="5">
        <v>88</v>
      </c>
      <c r="W48" s="5">
        <v>9.3000000000000007</v>
      </c>
      <c r="X48" s="5">
        <f t="shared" si="1"/>
        <v>290.81738040123503</v>
      </c>
      <c r="Y48" s="7">
        <f t="shared" si="2"/>
        <v>2.4290942360475798</v>
      </c>
      <c r="Z48" s="5">
        <v>2.83</v>
      </c>
      <c r="AA48" s="5">
        <f>Q48*Z48*100/U48</f>
        <v>0.97311928059303399</v>
      </c>
      <c r="AB48" s="8">
        <f t="shared" si="6"/>
        <v>28.3</v>
      </c>
    </row>
    <row r="49" spans="1:37">
      <c r="A49" s="2" t="s">
        <v>26</v>
      </c>
      <c r="B49" s="2">
        <v>2</v>
      </c>
      <c r="C49" s="3">
        <v>290</v>
      </c>
      <c r="D49" s="2" t="s">
        <v>27</v>
      </c>
      <c r="E49" s="2" t="s">
        <v>75</v>
      </c>
      <c r="F49" s="11">
        <v>15.366666666666699</v>
      </c>
      <c r="G49" s="11">
        <v>23.266666666666701</v>
      </c>
      <c r="H49" s="11">
        <v>610.66666666666697</v>
      </c>
      <c r="I49" s="11">
        <v>547</v>
      </c>
      <c r="J49" s="12">
        <v>5.6366670000000001</v>
      </c>
      <c r="K49" s="12">
        <f t="shared" si="0"/>
        <v>4.1277348239068701</v>
      </c>
      <c r="L49" s="11">
        <v>81.654979999999995</v>
      </c>
      <c r="M49" s="11">
        <v>156.5189</v>
      </c>
      <c r="N49" s="11">
        <v>1.732205</v>
      </c>
      <c r="O49" s="5">
        <v>4.056</v>
      </c>
      <c r="P49" s="5">
        <v>5.0490000000000004</v>
      </c>
      <c r="Q49" s="5">
        <v>5.3159999999999998</v>
      </c>
      <c r="R49" s="5">
        <v>5.6079999999999997</v>
      </c>
      <c r="S49" s="6">
        <f t="shared" si="4"/>
        <v>10.657</v>
      </c>
      <c r="T49" s="5">
        <f t="shared" si="5"/>
        <v>14.712999999999999</v>
      </c>
      <c r="U49" s="5">
        <v>1483.9988000000001</v>
      </c>
      <c r="V49" s="5">
        <v>87.5</v>
      </c>
      <c r="W49" s="5">
        <v>7.68</v>
      </c>
      <c r="X49" s="5">
        <f t="shared" si="1"/>
        <v>279.15703536493601</v>
      </c>
      <c r="Y49" s="7">
        <f t="shared" si="2"/>
        <v>2.62746548323471</v>
      </c>
      <c r="Z49" s="5">
        <v>2.76</v>
      </c>
      <c r="AA49" s="5">
        <f>Q49*Z49*100/U49</f>
        <v>0.98869082643463002</v>
      </c>
      <c r="AB49" s="8">
        <f t="shared" si="6"/>
        <v>27.6</v>
      </c>
    </row>
    <row r="50" spans="1:37">
      <c r="A50" s="2" t="s">
        <v>26</v>
      </c>
      <c r="B50" s="2">
        <v>2</v>
      </c>
      <c r="C50" s="3">
        <v>290</v>
      </c>
      <c r="D50" s="2" t="s">
        <v>27</v>
      </c>
      <c r="E50" s="5" t="s">
        <v>76</v>
      </c>
      <c r="G50" s="12"/>
      <c r="I50" s="12"/>
      <c r="J50" s="12"/>
      <c r="K50" s="12"/>
      <c r="L50" s="11"/>
      <c r="O50" s="5">
        <v>4.0670000000000002</v>
      </c>
      <c r="P50" s="5">
        <v>3.843</v>
      </c>
      <c r="Q50" s="5">
        <v>4.6470000000000002</v>
      </c>
      <c r="R50" s="5">
        <v>4.9690000000000003</v>
      </c>
      <c r="S50" s="6">
        <f t="shared" si="4"/>
        <v>8.8119999999999994</v>
      </c>
      <c r="T50" s="5">
        <f t="shared" si="5"/>
        <v>12.879</v>
      </c>
      <c r="U50" s="5">
        <v>1282.9885999999999</v>
      </c>
      <c r="V50" s="5">
        <v>67.5</v>
      </c>
      <c r="W50" s="5">
        <v>8.67</v>
      </c>
      <c r="X50" s="5">
        <f t="shared" si="1"/>
        <v>276.08964923606601</v>
      </c>
      <c r="Y50" s="7">
        <f t="shared" si="2"/>
        <v>2.1667076469141899</v>
      </c>
    </row>
    <row r="51" spans="1:37">
      <c r="A51" s="2" t="s">
        <v>26</v>
      </c>
      <c r="B51" s="2">
        <v>2</v>
      </c>
      <c r="C51" s="3">
        <v>290</v>
      </c>
      <c r="D51" s="2" t="s">
        <v>27</v>
      </c>
      <c r="E51" s="5" t="s">
        <v>77</v>
      </c>
      <c r="G51" s="12"/>
      <c r="I51" s="12"/>
      <c r="J51" s="12"/>
      <c r="K51" s="12"/>
      <c r="O51" s="5">
        <v>4.0709999999999997</v>
      </c>
      <c r="P51" s="5">
        <v>3.9940000000000002</v>
      </c>
      <c r="Q51" s="5">
        <v>5.234</v>
      </c>
      <c r="R51" s="5">
        <v>5.4740000000000002</v>
      </c>
      <c r="S51" s="6">
        <f t="shared" si="4"/>
        <v>9.468</v>
      </c>
      <c r="T51" s="5">
        <f t="shared" si="5"/>
        <v>13.539</v>
      </c>
      <c r="U51" s="5">
        <v>1589.5074</v>
      </c>
      <c r="V51" s="5">
        <v>64</v>
      </c>
      <c r="W51" s="5">
        <v>9.36</v>
      </c>
      <c r="X51" s="5">
        <f t="shared" si="1"/>
        <v>303.68884218570901</v>
      </c>
      <c r="Y51" s="7">
        <f t="shared" si="2"/>
        <v>2.32571849668386</v>
      </c>
    </row>
    <row r="52" spans="1:37">
      <c r="A52" s="2" t="s">
        <v>78</v>
      </c>
      <c r="B52" s="2">
        <v>1</v>
      </c>
      <c r="C52" s="3">
        <v>10</v>
      </c>
      <c r="D52" s="2" t="s">
        <v>27</v>
      </c>
      <c r="E52" s="2" t="s">
        <v>79</v>
      </c>
      <c r="F52" s="11">
        <v>10.5</v>
      </c>
      <c r="G52" s="11">
        <v>10.5</v>
      </c>
      <c r="H52" s="11">
        <v>329</v>
      </c>
      <c r="I52" s="11">
        <v>397.33333333333297</v>
      </c>
      <c r="J52" s="12">
        <v>5.0633330000000001</v>
      </c>
      <c r="K52" s="12">
        <f t="shared" si="0"/>
        <v>2.0737328554136201</v>
      </c>
      <c r="L52" s="11">
        <v>59.54522</v>
      </c>
      <c r="M52" s="11">
        <v>113.63590000000001</v>
      </c>
      <c r="N52" s="11">
        <v>2.4430719999999999</v>
      </c>
      <c r="O52" s="5">
        <v>1.149</v>
      </c>
      <c r="P52" s="5">
        <v>0.28299999999999997</v>
      </c>
      <c r="Q52" s="5">
        <v>0.46400000000000002</v>
      </c>
      <c r="R52" s="5">
        <v>0.48</v>
      </c>
      <c r="S52" s="6">
        <f t="shared" si="4"/>
        <v>0.76300000000000001</v>
      </c>
      <c r="T52" s="5">
        <f t="shared" si="5"/>
        <v>1.9119999999999999</v>
      </c>
      <c r="U52" s="5">
        <v>89.800899999999999</v>
      </c>
      <c r="V52" s="5">
        <v>6.1</v>
      </c>
      <c r="W52" s="5">
        <v>4.42</v>
      </c>
      <c r="X52" s="5">
        <f t="shared" si="1"/>
        <v>193.53642241379299</v>
      </c>
      <c r="Y52" s="7">
        <f t="shared" si="2"/>
        <v>0.66405570060922503</v>
      </c>
      <c r="Z52" s="5">
        <v>1.48</v>
      </c>
      <c r="AA52" s="5">
        <f>Q52*Z52*100/U52</f>
        <v>0.76471393939259003</v>
      </c>
      <c r="AB52" s="8">
        <f t="shared" si="6"/>
        <v>14.8</v>
      </c>
    </row>
    <row r="53" spans="1:37">
      <c r="A53" s="2" t="s">
        <v>78</v>
      </c>
      <c r="B53" s="2">
        <v>1</v>
      </c>
      <c r="C53" s="3">
        <v>10</v>
      </c>
      <c r="D53" s="2" t="s">
        <v>27</v>
      </c>
      <c r="E53" s="2" t="s">
        <v>80</v>
      </c>
      <c r="F53" s="11">
        <v>12.266666666666699</v>
      </c>
      <c r="G53" s="11">
        <v>12.266666666666699</v>
      </c>
      <c r="H53" s="11">
        <v>331</v>
      </c>
      <c r="I53" s="11">
        <v>561.33333333333303</v>
      </c>
      <c r="J53" s="12">
        <v>5.8333329999999997</v>
      </c>
      <c r="K53" s="12">
        <f t="shared" si="0"/>
        <v>2.1028572630204101</v>
      </c>
      <c r="L53" s="11">
        <v>67.794089999999997</v>
      </c>
      <c r="M53" s="11">
        <v>134.59049999999999</v>
      </c>
      <c r="N53" s="11">
        <v>2.3178779999999999</v>
      </c>
      <c r="O53" s="5">
        <v>0.98</v>
      </c>
      <c r="P53" s="5">
        <v>0.214</v>
      </c>
      <c r="Q53" s="5">
        <v>0.36599999999999999</v>
      </c>
      <c r="R53" s="5">
        <v>0.38800000000000001</v>
      </c>
      <c r="S53" s="6">
        <f t="shared" si="4"/>
        <v>0.60199999999999998</v>
      </c>
      <c r="T53" s="5">
        <f t="shared" si="5"/>
        <v>1.5820000000000001</v>
      </c>
      <c r="U53" s="5">
        <v>78.075900000000004</v>
      </c>
      <c r="V53" s="5">
        <v>7.2</v>
      </c>
      <c r="W53" s="5">
        <v>3.28</v>
      </c>
      <c r="X53" s="5">
        <f t="shared" si="1"/>
        <v>213.322131147541</v>
      </c>
      <c r="Y53" s="7">
        <f t="shared" si="2"/>
        <v>0.61428571428571399</v>
      </c>
      <c r="Z53" s="5">
        <v>2.12</v>
      </c>
      <c r="AA53" s="5">
        <f>Q53*Z53*100/U53</f>
        <v>0.99380218479710103</v>
      </c>
      <c r="AB53" s="8">
        <f t="shared" si="6"/>
        <v>21.2</v>
      </c>
    </row>
    <row r="54" spans="1:37">
      <c r="A54" s="2" t="s">
        <v>78</v>
      </c>
      <c r="B54" s="2">
        <v>1</v>
      </c>
      <c r="C54" s="3">
        <v>10</v>
      </c>
      <c r="D54" s="2" t="s">
        <v>27</v>
      </c>
      <c r="E54" s="2" t="s">
        <v>81</v>
      </c>
      <c r="F54" s="11">
        <v>18.266666666666701</v>
      </c>
      <c r="G54" s="11">
        <v>18.266666666666701</v>
      </c>
      <c r="H54" s="11">
        <v>304.66666666666703</v>
      </c>
      <c r="I54" s="11">
        <v>643</v>
      </c>
      <c r="J54" s="12">
        <v>6.5066670000000002</v>
      </c>
      <c r="K54" s="12">
        <f t="shared" si="0"/>
        <v>2.8073769053597899</v>
      </c>
      <c r="L54" s="11">
        <v>101.00939</v>
      </c>
      <c r="M54" s="11">
        <v>245.677333</v>
      </c>
      <c r="N54" s="11">
        <v>2.4117459999999999</v>
      </c>
      <c r="O54" s="5">
        <v>0.754</v>
      </c>
      <c r="P54" s="5">
        <v>0.191</v>
      </c>
      <c r="Q54" s="5">
        <v>0.499</v>
      </c>
      <c r="R54" s="5">
        <v>0.51700000000000002</v>
      </c>
      <c r="S54" s="6">
        <f t="shared" si="4"/>
        <v>0.70799999999999996</v>
      </c>
      <c r="T54" s="5">
        <f t="shared" si="5"/>
        <v>1.462</v>
      </c>
      <c r="U54" s="5">
        <v>116.0475</v>
      </c>
      <c r="V54" s="5">
        <v>4.7</v>
      </c>
      <c r="W54" s="5">
        <v>4.3</v>
      </c>
      <c r="X54" s="5">
        <f t="shared" si="1"/>
        <v>232.56012024048101</v>
      </c>
      <c r="Y54" s="7">
        <f t="shared" si="2"/>
        <v>0.93899204244031798</v>
      </c>
      <c r="Z54" s="5">
        <v>2.1</v>
      </c>
      <c r="AA54" s="5">
        <f>Q54*Z54*100/U54</f>
        <v>0.90299230918373996</v>
      </c>
      <c r="AB54" s="8">
        <f t="shared" si="6"/>
        <v>21</v>
      </c>
      <c r="AJ54" s="5"/>
      <c r="AK54" s="5"/>
    </row>
    <row r="55" spans="1:37">
      <c r="A55" s="2" t="s">
        <v>78</v>
      </c>
      <c r="B55" s="2">
        <v>1</v>
      </c>
      <c r="C55" s="3">
        <v>10</v>
      </c>
      <c r="D55" s="2" t="s">
        <v>27</v>
      </c>
      <c r="E55" s="5" t="s">
        <v>82</v>
      </c>
      <c r="G55" s="12"/>
      <c r="I55" s="12"/>
      <c r="J55" s="12"/>
      <c r="K55" s="12"/>
      <c r="L55" s="11"/>
      <c r="O55" s="5">
        <v>1.147</v>
      </c>
      <c r="P55" s="5">
        <v>0.245</v>
      </c>
      <c r="Q55" s="5">
        <v>0.32500000000000001</v>
      </c>
      <c r="R55" s="5">
        <v>0.33500000000000002</v>
      </c>
      <c r="S55" s="6">
        <f t="shared" si="4"/>
        <v>0.57999999999999996</v>
      </c>
      <c r="T55" s="5">
        <f t="shared" si="5"/>
        <v>1.7270000000000001</v>
      </c>
      <c r="U55" s="5">
        <v>73.972399999999993</v>
      </c>
      <c r="V55" s="5">
        <v>4.5</v>
      </c>
      <c r="W55" s="5">
        <v>4.17</v>
      </c>
      <c r="X55" s="5">
        <f t="shared" si="1"/>
        <v>227.607384615385</v>
      </c>
      <c r="Y55" s="7">
        <f t="shared" si="2"/>
        <v>0.50566695727986</v>
      </c>
    </row>
    <row r="56" spans="1:37">
      <c r="A56" s="2" t="s">
        <v>78</v>
      </c>
      <c r="B56" s="2">
        <v>1</v>
      </c>
      <c r="C56" s="3">
        <v>10</v>
      </c>
      <c r="D56" s="2" t="s">
        <v>27</v>
      </c>
      <c r="E56" s="5" t="s">
        <v>83</v>
      </c>
      <c r="G56" s="12"/>
      <c r="I56" s="12"/>
      <c r="J56" s="12"/>
      <c r="K56" s="12"/>
      <c r="L56" s="11"/>
      <c r="M56" s="15"/>
      <c r="N56" s="15"/>
      <c r="O56" s="5">
        <v>0.77800000000000002</v>
      </c>
      <c r="P56" s="5">
        <v>0.24</v>
      </c>
      <c r="Q56" s="5">
        <v>0.26800000000000002</v>
      </c>
      <c r="R56" s="5">
        <v>0.27600000000000002</v>
      </c>
      <c r="S56" s="6">
        <f t="shared" si="4"/>
        <v>0.51600000000000001</v>
      </c>
      <c r="T56" s="5">
        <f t="shared" si="5"/>
        <v>1.294</v>
      </c>
      <c r="U56" s="5">
        <v>56.052300000000002</v>
      </c>
      <c r="V56" s="5">
        <v>5.4</v>
      </c>
      <c r="W56" s="5">
        <v>4.1100000000000003</v>
      </c>
      <c r="X56" s="5">
        <f t="shared" si="1"/>
        <v>209.15037313432799</v>
      </c>
      <c r="Y56" s="7">
        <f t="shared" si="2"/>
        <v>0.66323907455012898</v>
      </c>
      <c r="AJ56" s="5"/>
      <c r="AK56" s="5"/>
    </row>
    <row r="57" spans="1:37">
      <c r="A57" s="2" t="s">
        <v>78</v>
      </c>
      <c r="B57" s="2">
        <v>2</v>
      </c>
      <c r="C57" s="3">
        <v>10</v>
      </c>
      <c r="D57" s="2" t="s">
        <v>27</v>
      </c>
      <c r="E57" s="2" t="s">
        <v>84</v>
      </c>
      <c r="F57" s="11">
        <v>16.1666666666667</v>
      </c>
      <c r="G57" s="11">
        <v>16.1666666666667</v>
      </c>
      <c r="H57" s="11">
        <v>306.66666666666703</v>
      </c>
      <c r="I57" s="11">
        <v>513.33333333333303</v>
      </c>
      <c r="J57" s="12">
        <v>5.5766669999999996</v>
      </c>
      <c r="K57" s="12">
        <f t="shared" si="0"/>
        <v>2.8989836880464002</v>
      </c>
      <c r="L57" s="11">
        <v>79.272559999999999</v>
      </c>
      <c r="M57" s="11">
        <v>199.70150000000001</v>
      </c>
      <c r="N57" s="11">
        <v>2.218826</v>
      </c>
      <c r="O57" s="5">
        <v>1.0580000000000001</v>
      </c>
      <c r="P57" s="5">
        <v>0.32100000000000001</v>
      </c>
      <c r="Q57" s="5">
        <v>0.54900000000000004</v>
      </c>
      <c r="R57" s="5">
        <v>0.57099999999999995</v>
      </c>
      <c r="S57" s="6">
        <f t="shared" si="4"/>
        <v>0.89200000000000002</v>
      </c>
      <c r="T57" s="5">
        <f t="shared" si="5"/>
        <v>1.95</v>
      </c>
      <c r="U57" s="5">
        <v>120.61839999999999</v>
      </c>
      <c r="V57" s="5">
        <v>7</v>
      </c>
      <c r="W57" s="5">
        <v>5.01</v>
      </c>
      <c r="X57" s="5">
        <f t="shared" si="1"/>
        <v>219.705646630237</v>
      </c>
      <c r="Y57" s="7">
        <f t="shared" si="2"/>
        <v>0.84310018903591699</v>
      </c>
      <c r="Z57" s="5">
        <v>1.98</v>
      </c>
      <c r="AA57" s="5">
        <f>Q57*Z57*100/U57</f>
        <v>0.90120578618187597</v>
      </c>
      <c r="AB57" s="8">
        <f t="shared" si="6"/>
        <v>19.8</v>
      </c>
    </row>
    <row r="58" spans="1:37">
      <c r="A58" s="2" t="s">
        <v>78</v>
      </c>
      <c r="B58" s="2">
        <v>2</v>
      </c>
      <c r="C58" s="3">
        <v>10</v>
      </c>
      <c r="D58" s="2" t="s">
        <v>27</v>
      </c>
      <c r="E58" s="2" t="s">
        <v>85</v>
      </c>
      <c r="F58" s="11">
        <v>11.366666666666699</v>
      </c>
      <c r="G58" s="11">
        <v>11.366666666666699</v>
      </c>
      <c r="H58" s="11">
        <v>320</v>
      </c>
      <c r="I58" s="11">
        <v>385</v>
      </c>
      <c r="J58" s="12">
        <v>5.3333329999999997</v>
      </c>
      <c r="K58" s="12">
        <f t="shared" si="0"/>
        <v>2.1312501332031299</v>
      </c>
      <c r="L58" s="11">
        <v>68.099379999999996</v>
      </c>
      <c r="M58" s="11">
        <v>129.06200000000001</v>
      </c>
      <c r="N58" s="11">
        <v>2.5501619999999998</v>
      </c>
      <c r="O58" s="5">
        <v>1.1060000000000001</v>
      </c>
      <c r="P58" s="5">
        <v>0.247</v>
      </c>
      <c r="Q58" s="5">
        <v>0.42699999999999999</v>
      </c>
      <c r="R58" s="5">
        <v>0.44</v>
      </c>
      <c r="S58" s="6">
        <f t="shared" si="4"/>
        <v>0.68700000000000006</v>
      </c>
      <c r="T58" s="5">
        <f t="shared" si="5"/>
        <v>1.7929999999999999</v>
      </c>
      <c r="U58" s="5">
        <v>80.563900000000004</v>
      </c>
      <c r="V58" s="5">
        <v>7.8</v>
      </c>
      <c r="W58" s="5">
        <v>4.2300000000000004</v>
      </c>
      <c r="X58" s="5">
        <f t="shared" si="1"/>
        <v>188.67423887587799</v>
      </c>
      <c r="Y58" s="7">
        <f t="shared" si="2"/>
        <v>0.62115732368896903</v>
      </c>
      <c r="Z58" s="5">
        <v>1.32</v>
      </c>
      <c r="AA58" s="5">
        <f>Q58*Z58*100/U58</f>
        <v>0.69961856364947606</v>
      </c>
      <c r="AB58" s="8">
        <f t="shared" si="6"/>
        <v>13.2</v>
      </c>
    </row>
    <row r="59" spans="1:37">
      <c r="A59" s="2" t="s">
        <v>78</v>
      </c>
      <c r="B59" s="2">
        <v>2</v>
      </c>
      <c r="C59" s="3">
        <v>10</v>
      </c>
      <c r="D59" s="2" t="s">
        <v>27</v>
      </c>
      <c r="E59" s="2" t="s">
        <v>86</v>
      </c>
      <c r="F59" s="11">
        <v>12.266666666666699</v>
      </c>
      <c r="G59" s="11">
        <v>12.266666666666699</v>
      </c>
      <c r="H59" s="11">
        <v>326</v>
      </c>
      <c r="I59" s="11">
        <v>492</v>
      </c>
      <c r="J59" s="12">
        <v>5.6633329999999997</v>
      </c>
      <c r="K59" s="12">
        <f t="shared" si="0"/>
        <v>2.16598011571396</v>
      </c>
      <c r="L59" s="11">
        <v>67.487390000000005</v>
      </c>
      <c r="M59" s="11">
        <v>132.25309999999999</v>
      </c>
      <c r="N59" s="11">
        <v>2.3861539999999999</v>
      </c>
      <c r="O59" s="5">
        <v>1.036</v>
      </c>
      <c r="P59" s="5">
        <v>0.26600000000000001</v>
      </c>
      <c r="Q59" s="5">
        <v>0.38500000000000001</v>
      </c>
      <c r="R59" s="5">
        <v>0.39800000000000002</v>
      </c>
      <c r="S59" s="6">
        <f t="shared" si="4"/>
        <v>0.66400000000000003</v>
      </c>
      <c r="T59" s="5">
        <f t="shared" si="5"/>
        <v>1.7</v>
      </c>
      <c r="U59" s="5">
        <v>73.637699999999995</v>
      </c>
      <c r="V59" s="5">
        <v>5.9</v>
      </c>
      <c r="W59" s="5">
        <v>4.21</v>
      </c>
      <c r="X59" s="5">
        <f t="shared" si="1"/>
        <v>191.26675324675301</v>
      </c>
      <c r="Y59" s="7">
        <f t="shared" si="2"/>
        <v>0.64092664092664098</v>
      </c>
      <c r="Z59" s="5">
        <v>1.66</v>
      </c>
      <c r="AA59" s="5">
        <f>Q59*Z59*100/U59</f>
        <v>0.86789782950852601</v>
      </c>
      <c r="AB59" s="8">
        <f t="shared" si="6"/>
        <v>16.600000000000001</v>
      </c>
    </row>
    <row r="60" spans="1:37">
      <c r="A60" s="2" t="s">
        <v>78</v>
      </c>
      <c r="B60" s="2">
        <v>2</v>
      </c>
      <c r="C60" s="3">
        <v>10</v>
      </c>
      <c r="D60" s="2" t="s">
        <v>27</v>
      </c>
      <c r="E60" s="5" t="s">
        <v>87</v>
      </c>
      <c r="G60" s="12"/>
      <c r="I60" s="12"/>
      <c r="J60" s="12"/>
      <c r="K60" s="12"/>
      <c r="L60" s="11"/>
      <c r="M60" s="15"/>
      <c r="N60" s="15"/>
      <c r="O60" s="5">
        <v>0.78100000000000003</v>
      </c>
      <c r="P60" s="5">
        <v>0.155</v>
      </c>
      <c r="Q60" s="5">
        <v>0.43</v>
      </c>
      <c r="R60" s="5">
        <v>0.44900000000000001</v>
      </c>
      <c r="S60" s="6">
        <f t="shared" si="4"/>
        <v>0.60399999999999998</v>
      </c>
      <c r="T60" s="5">
        <f t="shared" si="5"/>
        <v>1.385</v>
      </c>
      <c r="U60" s="5">
        <v>94.387500000000003</v>
      </c>
      <c r="V60" s="5">
        <v>7</v>
      </c>
      <c r="W60" s="5">
        <v>3.2</v>
      </c>
      <c r="X60" s="5">
        <f t="shared" si="1"/>
        <v>219.505813953488</v>
      </c>
      <c r="Y60" s="7">
        <f t="shared" si="2"/>
        <v>0.77336747759282998</v>
      </c>
    </row>
    <row r="61" spans="1:37">
      <c r="A61" s="2" t="s">
        <v>78</v>
      </c>
      <c r="B61" s="2">
        <v>2</v>
      </c>
      <c r="C61" s="3">
        <v>10</v>
      </c>
      <c r="D61" s="2" t="s">
        <v>27</v>
      </c>
      <c r="E61" s="5" t="s">
        <v>88</v>
      </c>
      <c r="G61" s="12"/>
      <c r="I61" s="12"/>
      <c r="J61" s="12"/>
      <c r="K61" s="12"/>
      <c r="L61" s="11"/>
      <c r="O61" s="5">
        <v>1.292</v>
      </c>
      <c r="P61" s="5">
        <v>0.25</v>
      </c>
      <c r="Q61" s="5">
        <v>0.38100000000000001</v>
      </c>
      <c r="R61" s="5">
        <v>0.38900000000000001</v>
      </c>
      <c r="S61" s="6">
        <f t="shared" si="4"/>
        <v>0.63900000000000001</v>
      </c>
      <c r="T61" s="5">
        <f t="shared" si="5"/>
        <v>1.931</v>
      </c>
      <c r="U61" s="5">
        <v>78.710800000000006</v>
      </c>
      <c r="V61" s="5">
        <v>5.0999999999999996</v>
      </c>
      <c r="W61" s="5">
        <v>4.45</v>
      </c>
      <c r="X61" s="5">
        <f t="shared" si="1"/>
        <v>206.59002624671899</v>
      </c>
      <c r="Y61" s="7">
        <f t="shared" si="2"/>
        <v>0.49458204334365302</v>
      </c>
    </row>
    <row r="62" spans="1:37">
      <c r="A62" s="2" t="s">
        <v>78</v>
      </c>
      <c r="B62" s="2">
        <v>1</v>
      </c>
      <c r="C62" s="3">
        <v>80</v>
      </c>
      <c r="D62" s="2" t="s">
        <v>27</v>
      </c>
      <c r="E62" s="2" t="s">
        <v>89</v>
      </c>
      <c r="F62" s="11">
        <v>17.3</v>
      </c>
      <c r="G62" s="11">
        <v>17.3</v>
      </c>
      <c r="H62" s="11">
        <v>317.33333333333297</v>
      </c>
      <c r="I62" s="11">
        <v>801.33333333333303</v>
      </c>
      <c r="J62" s="12">
        <v>5.34</v>
      </c>
      <c r="K62" s="12">
        <f t="shared" si="0"/>
        <v>3.23970037453183</v>
      </c>
      <c r="L62" s="11">
        <v>78.21069</v>
      </c>
      <c r="M62" s="11">
        <v>157.11000000000001</v>
      </c>
      <c r="N62" s="11">
        <v>1.571814</v>
      </c>
      <c r="O62" s="5">
        <v>1.9330000000000001</v>
      </c>
      <c r="P62" s="5">
        <v>1.0960000000000001</v>
      </c>
      <c r="Q62" s="5">
        <v>1.702</v>
      </c>
      <c r="R62" s="5">
        <v>1.7829999999999999</v>
      </c>
      <c r="S62" s="6">
        <f t="shared" si="4"/>
        <v>2.879</v>
      </c>
      <c r="T62" s="5">
        <f t="shared" si="5"/>
        <v>4.8120000000000003</v>
      </c>
      <c r="U62" s="5">
        <v>478.61810000000003</v>
      </c>
      <c r="V62" s="5">
        <v>29.2</v>
      </c>
      <c r="W62" s="5">
        <v>6.64</v>
      </c>
      <c r="X62" s="5">
        <f t="shared" si="1"/>
        <v>281.20922444183299</v>
      </c>
      <c r="Y62" s="7">
        <f t="shared" si="2"/>
        <v>1.4893947232281399</v>
      </c>
      <c r="Z62" s="5">
        <v>2.3199999999999998</v>
      </c>
      <c r="AA62" s="5">
        <f>Q62*Z62*100/U62</f>
        <v>0.82500849842494495</v>
      </c>
      <c r="AB62" s="8">
        <f t="shared" si="6"/>
        <v>23.2</v>
      </c>
    </row>
    <row r="63" spans="1:37">
      <c r="A63" s="2" t="s">
        <v>78</v>
      </c>
      <c r="B63" s="2">
        <v>1</v>
      </c>
      <c r="C63" s="3">
        <v>80</v>
      </c>
      <c r="D63" s="2" t="s">
        <v>27</v>
      </c>
      <c r="E63" s="2" t="s">
        <v>90</v>
      </c>
      <c r="F63" s="11">
        <v>18.8</v>
      </c>
      <c r="G63" s="11">
        <v>18.8</v>
      </c>
      <c r="H63" s="11">
        <v>315</v>
      </c>
      <c r="I63" s="11">
        <v>941.33333333333303</v>
      </c>
      <c r="J63" s="12">
        <v>4.8233329999999999</v>
      </c>
      <c r="K63" s="12">
        <f t="shared" si="0"/>
        <v>3.8977196888541599</v>
      </c>
      <c r="L63" s="11">
        <v>83.140280000000004</v>
      </c>
      <c r="M63" s="11">
        <v>184.03149999999999</v>
      </c>
      <c r="N63" s="11">
        <v>1.718421</v>
      </c>
      <c r="O63" s="5">
        <v>1.397</v>
      </c>
      <c r="P63" s="5">
        <v>0.69499999999999995</v>
      </c>
      <c r="Q63" s="5">
        <v>1.466</v>
      </c>
      <c r="R63" s="5">
        <v>1.544</v>
      </c>
      <c r="S63" s="6">
        <f t="shared" si="4"/>
        <v>2.2389999999999999</v>
      </c>
      <c r="T63" s="5">
        <f t="shared" si="5"/>
        <v>3.6360000000000001</v>
      </c>
      <c r="U63" s="5">
        <v>355.05419999999998</v>
      </c>
      <c r="V63" s="5">
        <v>20.3</v>
      </c>
      <c r="W63" s="5">
        <v>4.7699999999999996</v>
      </c>
      <c r="X63" s="5">
        <f t="shared" si="1"/>
        <v>242.192496589359</v>
      </c>
      <c r="Y63" s="7">
        <f t="shared" si="2"/>
        <v>1.60272011453114</v>
      </c>
      <c r="Z63" s="5">
        <v>2.39</v>
      </c>
      <c r="AA63" s="5">
        <f>Q63*Z63*100/U63</f>
        <v>0.986818350550423</v>
      </c>
      <c r="AB63" s="8">
        <f t="shared" si="6"/>
        <v>23.9</v>
      </c>
    </row>
    <row r="64" spans="1:37">
      <c r="A64" s="2" t="s">
        <v>78</v>
      </c>
      <c r="B64" s="2">
        <v>1</v>
      </c>
      <c r="C64" s="3">
        <v>80</v>
      </c>
      <c r="D64" s="2" t="s">
        <v>27</v>
      </c>
      <c r="E64" s="2" t="s">
        <v>91</v>
      </c>
      <c r="F64" s="11">
        <v>18.100000000000001</v>
      </c>
      <c r="G64" s="11">
        <v>18.100000000000001</v>
      </c>
      <c r="H64" s="11">
        <v>306.66666666666703</v>
      </c>
      <c r="I64" s="11">
        <v>699</v>
      </c>
      <c r="J64" s="12">
        <v>5.1766670000000001</v>
      </c>
      <c r="K64" s="12">
        <f t="shared" si="0"/>
        <v>3.4964582423401001</v>
      </c>
      <c r="L64" s="11">
        <v>87.296679999999995</v>
      </c>
      <c r="M64" s="11">
        <v>249.56190000000001</v>
      </c>
      <c r="N64" s="11">
        <v>2.0872929999999998</v>
      </c>
      <c r="O64" s="5">
        <v>2.4889999999999999</v>
      </c>
      <c r="P64" s="5">
        <v>1.0840000000000001</v>
      </c>
      <c r="Q64" s="5">
        <v>1.744</v>
      </c>
      <c r="R64" s="5">
        <v>1.847</v>
      </c>
      <c r="S64" s="6">
        <f t="shared" si="4"/>
        <v>2.931</v>
      </c>
      <c r="T64" s="5">
        <f t="shared" si="5"/>
        <v>5.42</v>
      </c>
      <c r="U64" s="5">
        <v>439.57350000000002</v>
      </c>
      <c r="V64" s="5">
        <v>18.2</v>
      </c>
      <c r="W64" s="5">
        <v>7.85</v>
      </c>
      <c r="X64" s="5">
        <f t="shared" si="1"/>
        <v>252.04902522935799</v>
      </c>
      <c r="Y64" s="7">
        <f t="shared" si="2"/>
        <v>1.17758135797509</v>
      </c>
      <c r="Z64" s="5">
        <v>2.84</v>
      </c>
      <c r="AA64" s="5">
        <f>Q64*Z64*100/U64</f>
        <v>1.1267649209972801</v>
      </c>
      <c r="AB64" s="8">
        <f t="shared" si="6"/>
        <v>28.4</v>
      </c>
    </row>
    <row r="65" spans="1:28">
      <c r="A65" s="2" t="s">
        <v>78</v>
      </c>
      <c r="B65" s="2">
        <v>1</v>
      </c>
      <c r="C65" s="3">
        <v>80</v>
      </c>
      <c r="D65" s="2" t="s">
        <v>27</v>
      </c>
      <c r="E65" s="5" t="s">
        <v>92</v>
      </c>
      <c r="G65" s="12"/>
      <c r="I65" s="12"/>
      <c r="J65" s="12"/>
      <c r="K65" s="12"/>
      <c r="L65" s="11"/>
      <c r="O65" s="5">
        <v>1.298</v>
      </c>
      <c r="P65" s="5">
        <v>0.47299999999999998</v>
      </c>
      <c r="Q65" s="5">
        <v>4.2999999999999997E-2</v>
      </c>
      <c r="R65" s="5">
        <v>7.6999999999999999E-2</v>
      </c>
      <c r="S65" s="6">
        <f t="shared" si="4"/>
        <v>0.55000000000000004</v>
      </c>
      <c r="T65" s="5">
        <f t="shared" si="5"/>
        <v>1.8480000000000001</v>
      </c>
      <c r="U65" s="5">
        <v>208.05080000000001</v>
      </c>
      <c r="V65" s="5">
        <v>9.8000000000000007</v>
      </c>
      <c r="W65" s="5">
        <v>5.37</v>
      </c>
      <c r="X65" s="5">
        <f t="shared" si="1"/>
        <v>4838.3906976744202</v>
      </c>
      <c r="Y65" s="7">
        <f t="shared" si="2"/>
        <v>0.42372881355932202</v>
      </c>
      <c r="Z65" s="2"/>
      <c r="AA65" s="2"/>
    </row>
    <row r="66" spans="1:28">
      <c r="A66" s="2" t="s">
        <v>78</v>
      </c>
      <c r="B66" s="2">
        <v>1</v>
      </c>
      <c r="C66" s="3">
        <v>80</v>
      </c>
      <c r="D66" s="2" t="s">
        <v>27</v>
      </c>
      <c r="E66" s="5" t="s">
        <v>93</v>
      </c>
      <c r="G66" s="12"/>
      <c r="I66" s="12"/>
      <c r="J66" s="12"/>
      <c r="K66" s="12"/>
      <c r="L66" s="11"/>
      <c r="O66" s="5">
        <v>1.55</v>
      </c>
      <c r="P66" s="5">
        <v>0.68600000000000005</v>
      </c>
      <c r="Q66" s="5">
        <v>1.3220000000000001</v>
      </c>
      <c r="R66" s="5">
        <v>1.3979999999999999</v>
      </c>
      <c r="S66" s="6">
        <f t="shared" si="4"/>
        <v>2.0840000000000001</v>
      </c>
      <c r="T66" s="5">
        <f t="shared" si="5"/>
        <v>3.6339999999999999</v>
      </c>
      <c r="U66" s="5">
        <v>344.44819999999999</v>
      </c>
      <c r="V66" s="5">
        <v>18.5</v>
      </c>
      <c r="W66" s="5">
        <v>6.42</v>
      </c>
      <c r="X66" s="5">
        <f t="shared" si="1"/>
        <v>260.55083207261703</v>
      </c>
      <c r="Y66" s="7">
        <f t="shared" si="2"/>
        <v>1.34451612903226</v>
      </c>
      <c r="Z66" s="2"/>
      <c r="AA66" s="2"/>
    </row>
    <row r="67" spans="1:28">
      <c r="A67" s="2" t="s">
        <v>78</v>
      </c>
      <c r="B67" s="2">
        <v>2</v>
      </c>
      <c r="C67" s="3">
        <v>80</v>
      </c>
      <c r="D67" s="2" t="s">
        <v>27</v>
      </c>
      <c r="E67" s="2" t="s">
        <v>94</v>
      </c>
      <c r="F67" s="11">
        <v>16.3333333333333</v>
      </c>
      <c r="G67" s="11">
        <v>16.3333333333333</v>
      </c>
      <c r="H67" s="11">
        <v>308</v>
      </c>
      <c r="I67" s="11">
        <v>585</v>
      </c>
      <c r="J67" s="12">
        <v>5.0466670000000002</v>
      </c>
      <c r="K67" s="12">
        <f t="shared" ref="K67:K129" si="7">G67/J67</f>
        <v>3.2364594956103399</v>
      </c>
      <c r="L67" s="11">
        <v>78.906829999999999</v>
      </c>
      <c r="M67" s="11">
        <v>174.87549999999999</v>
      </c>
      <c r="N67" s="11">
        <v>1.5315319999999999</v>
      </c>
      <c r="O67" s="5">
        <v>1.8029999999999999</v>
      </c>
      <c r="P67" s="5">
        <v>0.52</v>
      </c>
      <c r="Q67" s="5">
        <v>1.2030000000000001</v>
      </c>
      <c r="R67" s="5">
        <v>1.2430000000000001</v>
      </c>
      <c r="S67" s="6">
        <f t="shared" si="4"/>
        <v>1.7629999999999999</v>
      </c>
      <c r="T67" s="5">
        <f t="shared" si="5"/>
        <v>3.5659999999999998</v>
      </c>
      <c r="U67" s="5">
        <v>244.37469999999999</v>
      </c>
      <c r="V67" s="5">
        <v>10.6</v>
      </c>
      <c r="W67" s="5">
        <v>5.59</v>
      </c>
      <c r="X67" s="5">
        <f t="shared" ref="X67:X130" si="8">U67/Q67</f>
        <v>203.13773898586899</v>
      </c>
      <c r="Y67" s="7">
        <f t="shared" ref="Y67:Y130" si="9">(P67+R67)/O67</f>
        <v>0.97781475318912903</v>
      </c>
      <c r="Z67" s="5">
        <v>2.69</v>
      </c>
      <c r="AA67" s="5">
        <f>Q67*Z67*100/U67</f>
        <v>1.32422464354943</v>
      </c>
      <c r="AB67" s="8">
        <f t="shared" si="6"/>
        <v>26.9</v>
      </c>
    </row>
    <row r="68" spans="1:28">
      <c r="A68" s="2" t="s">
        <v>78</v>
      </c>
      <c r="B68" s="2">
        <v>2</v>
      </c>
      <c r="C68" s="3">
        <v>80</v>
      </c>
      <c r="D68" s="2" t="s">
        <v>27</v>
      </c>
      <c r="E68" s="2" t="s">
        <v>95</v>
      </c>
      <c r="F68" s="11">
        <v>15.9</v>
      </c>
      <c r="G68" s="11">
        <v>15.9</v>
      </c>
      <c r="H68" s="11">
        <v>316.66666666666703</v>
      </c>
      <c r="I68" s="11">
        <v>692</v>
      </c>
      <c r="J68" s="12">
        <v>5.6333330000000004</v>
      </c>
      <c r="K68" s="12">
        <f t="shared" si="7"/>
        <v>2.8224853741115599</v>
      </c>
      <c r="L68" s="11">
        <v>82.324629999999999</v>
      </c>
      <c r="M68" s="11">
        <v>181.42250000000001</v>
      </c>
      <c r="N68" s="11">
        <v>2.4093960000000001</v>
      </c>
      <c r="O68" s="5">
        <v>2.1779999999999999</v>
      </c>
      <c r="P68" s="5">
        <v>0.51</v>
      </c>
      <c r="Q68" s="5">
        <v>0.874</v>
      </c>
      <c r="R68" s="5">
        <v>0.91900000000000004</v>
      </c>
      <c r="S68" s="6">
        <f t="shared" ref="S68:S131" si="10">P68+R68</f>
        <v>1.429</v>
      </c>
      <c r="T68" s="5">
        <f t="shared" si="5"/>
        <v>3.6070000000000002</v>
      </c>
      <c r="U68" s="5">
        <v>195.13200000000001</v>
      </c>
      <c r="V68" s="5">
        <v>10.199999999999999</v>
      </c>
      <c r="W68" s="5">
        <v>4.67</v>
      </c>
      <c r="X68" s="5">
        <f t="shared" si="8"/>
        <v>223.26315789473699</v>
      </c>
      <c r="Y68" s="7">
        <f t="shared" si="9"/>
        <v>0.65610651974288303</v>
      </c>
      <c r="Z68" s="5">
        <v>3.04</v>
      </c>
      <c r="AA68" s="5">
        <f>Q68*Z68*100/U68</f>
        <v>1.3616218764733601</v>
      </c>
      <c r="AB68" s="8">
        <f t="shared" si="6"/>
        <v>30.4</v>
      </c>
    </row>
    <row r="69" spans="1:28">
      <c r="A69" s="2" t="s">
        <v>78</v>
      </c>
      <c r="B69" s="2">
        <v>2</v>
      </c>
      <c r="C69" s="3">
        <v>80</v>
      </c>
      <c r="D69" s="2" t="s">
        <v>27</v>
      </c>
      <c r="E69" s="2" t="s">
        <v>96</v>
      </c>
      <c r="F69" s="11">
        <v>17.233333333333299</v>
      </c>
      <c r="G69" s="11">
        <v>17.233333333333299</v>
      </c>
      <c r="H69" s="11">
        <v>305.66666666666703</v>
      </c>
      <c r="I69" s="11">
        <v>588.33333333333303</v>
      </c>
      <c r="J69" s="12">
        <v>5</v>
      </c>
      <c r="K69" s="12">
        <f t="shared" si="7"/>
        <v>3.4466666666666699</v>
      </c>
      <c r="L69" s="11">
        <v>85.004840000000002</v>
      </c>
      <c r="M69" s="11">
        <v>182.92760000000001</v>
      </c>
      <c r="N69" s="11">
        <v>2.346314</v>
      </c>
      <c r="O69" s="5">
        <v>2.0990000000000002</v>
      </c>
      <c r="P69" s="5">
        <v>0.58599999999999997</v>
      </c>
      <c r="Q69" s="5">
        <v>1.177</v>
      </c>
      <c r="R69" s="5">
        <v>1.2270000000000001</v>
      </c>
      <c r="S69" s="6">
        <f t="shared" si="10"/>
        <v>1.8129999999999999</v>
      </c>
      <c r="T69" s="5">
        <f t="shared" si="5"/>
        <v>3.9119999999999999</v>
      </c>
      <c r="U69" s="5">
        <v>211.34690000000001</v>
      </c>
      <c r="V69" s="5">
        <v>10.5</v>
      </c>
      <c r="W69" s="5">
        <v>5.52</v>
      </c>
      <c r="X69" s="5">
        <f t="shared" si="8"/>
        <v>179.56406117247201</v>
      </c>
      <c r="Y69" s="7">
        <f t="shared" si="9"/>
        <v>0.86374464030490705</v>
      </c>
      <c r="Z69" s="5">
        <v>2.68</v>
      </c>
      <c r="AA69" s="5">
        <f>Q69*Z69*100/U69</f>
        <v>1.49250355694832</v>
      </c>
      <c r="AB69" s="8">
        <f t="shared" si="6"/>
        <v>26.8</v>
      </c>
    </row>
    <row r="70" spans="1:28">
      <c r="A70" s="2" t="s">
        <v>78</v>
      </c>
      <c r="B70" s="2">
        <v>2</v>
      </c>
      <c r="C70" s="3">
        <v>80</v>
      </c>
      <c r="D70" s="2" t="s">
        <v>27</v>
      </c>
      <c r="E70" s="5" t="s">
        <v>97</v>
      </c>
      <c r="G70" s="12"/>
      <c r="I70" s="12"/>
      <c r="J70" s="12"/>
      <c r="K70" s="12"/>
      <c r="L70" s="11"/>
      <c r="O70" s="5">
        <v>1.6679999999999999</v>
      </c>
      <c r="P70" s="5">
        <v>0.51600000000000001</v>
      </c>
      <c r="Q70" s="5">
        <v>1.38</v>
      </c>
      <c r="R70" s="5">
        <v>1.454</v>
      </c>
      <c r="S70" s="6">
        <f t="shared" si="10"/>
        <v>1.97</v>
      </c>
      <c r="T70" s="5">
        <f t="shared" ref="T70:T133" si="11">O70+P70+R70</f>
        <v>3.6379999999999999</v>
      </c>
      <c r="U70" s="5">
        <v>329.50540000000001</v>
      </c>
      <c r="V70" s="5">
        <v>11.3</v>
      </c>
      <c r="W70" s="5">
        <v>5.22</v>
      </c>
      <c r="X70" s="5">
        <f t="shared" si="8"/>
        <v>238.77202898550701</v>
      </c>
      <c r="Y70" s="7">
        <f t="shared" si="9"/>
        <v>1.1810551558753</v>
      </c>
    </row>
    <row r="71" spans="1:28">
      <c r="A71" s="2" t="s">
        <v>78</v>
      </c>
      <c r="B71" s="2">
        <v>2</v>
      </c>
      <c r="C71" s="3">
        <v>80</v>
      </c>
      <c r="D71" s="2" t="s">
        <v>27</v>
      </c>
      <c r="E71" s="5" t="s">
        <v>98</v>
      </c>
      <c r="G71" s="12"/>
      <c r="I71" s="12"/>
      <c r="J71" s="12"/>
      <c r="K71" s="12"/>
      <c r="L71" s="11"/>
      <c r="O71" s="5">
        <v>1.925</v>
      </c>
      <c r="P71" s="5">
        <v>0.76400000000000001</v>
      </c>
      <c r="Q71" s="5">
        <v>1.5029999999999999</v>
      </c>
      <c r="R71" s="5">
        <v>1.5720000000000001</v>
      </c>
      <c r="S71" s="6">
        <f t="shared" si="10"/>
        <v>2.3359999999999999</v>
      </c>
      <c r="T71" s="5">
        <f t="shared" si="11"/>
        <v>4.2610000000000001</v>
      </c>
      <c r="U71" s="5">
        <v>380.31380000000001</v>
      </c>
      <c r="V71" s="5">
        <v>13.7</v>
      </c>
      <c r="W71" s="5">
        <v>7.39</v>
      </c>
      <c r="X71" s="5">
        <f t="shared" si="8"/>
        <v>253.03646041250801</v>
      </c>
      <c r="Y71" s="7">
        <f t="shared" si="9"/>
        <v>1.2135064935064901</v>
      </c>
    </row>
    <row r="72" spans="1:28">
      <c r="A72" s="2" t="s">
        <v>78</v>
      </c>
      <c r="B72" s="2">
        <v>1</v>
      </c>
      <c r="C72" s="3">
        <v>150</v>
      </c>
      <c r="D72" s="2" t="s">
        <v>27</v>
      </c>
      <c r="E72" s="2" t="s">
        <v>99</v>
      </c>
      <c r="F72" s="11">
        <v>20.1666666666667</v>
      </c>
      <c r="G72" s="11">
        <v>20.1666666666667</v>
      </c>
      <c r="H72" s="11">
        <v>311</v>
      </c>
      <c r="I72" s="11">
        <v>932</v>
      </c>
      <c r="J72" s="12">
        <v>6.5533330000000003</v>
      </c>
      <c r="K72" s="12">
        <f t="shared" si="7"/>
        <v>3.0773145003720499</v>
      </c>
      <c r="L72" s="11">
        <v>88.534080000000003</v>
      </c>
      <c r="M72" s="11">
        <v>290.25130439999998</v>
      </c>
      <c r="N72" s="11">
        <v>0.38256099999999998</v>
      </c>
      <c r="O72" s="5">
        <v>1.716</v>
      </c>
      <c r="P72" s="5">
        <v>0.86799999999999999</v>
      </c>
      <c r="Q72" s="5">
        <v>1.595</v>
      </c>
      <c r="R72" s="5">
        <v>1.706</v>
      </c>
      <c r="S72" s="6">
        <f t="shared" si="10"/>
        <v>2.5739999999999998</v>
      </c>
      <c r="T72" s="5">
        <f t="shared" si="11"/>
        <v>4.29</v>
      </c>
      <c r="U72" s="5">
        <v>431.18079999999998</v>
      </c>
      <c r="V72" s="5">
        <v>11.5</v>
      </c>
      <c r="W72" s="5">
        <v>6.25</v>
      </c>
      <c r="X72" s="5">
        <f t="shared" si="8"/>
        <v>270.33278996865198</v>
      </c>
      <c r="Y72" s="7">
        <f t="shared" si="9"/>
        <v>1.5</v>
      </c>
      <c r="Z72" s="5">
        <v>3.93</v>
      </c>
      <c r="AA72" s="5">
        <f>Q72*Z72*100/U72</f>
        <v>1.4537637111856601</v>
      </c>
      <c r="AB72" s="8">
        <f t="shared" ref="AB72:AB129" si="12">Z72*10</f>
        <v>39.299999999999997</v>
      </c>
    </row>
    <row r="73" spans="1:28">
      <c r="A73" s="2" t="s">
        <v>78</v>
      </c>
      <c r="B73" s="2">
        <v>1</v>
      </c>
      <c r="C73" s="3">
        <v>150</v>
      </c>
      <c r="D73" s="2" t="s">
        <v>27</v>
      </c>
      <c r="E73" s="2" t="s">
        <v>100</v>
      </c>
      <c r="F73" s="11">
        <v>19.7</v>
      </c>
      <c r="G73" s="11">
        <v>19.7</v>
      </c>
      <c r="H73" s="11">
        <v>303.66666666666703</v>
      </c>
      <c r="I73" s="11">
        <v>710.33333333333303</v>
      </c>
      <c r="J73" s="12">
        <v>6.4</v>
      </c>
      <c r="K73" s="12">
        <f t="shared" si="7"/>
        <v>3.078125</v>
      </c>
      <c r="L73" s="11">
        <v>93.91977</v>
      </c>
      <c r="M73" s="11">
        <v>258.23989999999998</v>
      </c>
      <c r="N73" s="11">
        <v>1.3896459999999999</v>
      </c>
      <c r="O73" s="5">
        <v>1.5509999999999999</v>
      </c>
      <c r="P73" s="5">
        <v>0.999</v>
      </c>
      <c r="Q73" s="5">
        <v>1.958</v>
      </c>
      <c r="R73" s="5">
        <v>2.0649999999999999</v>
      </c>
      <c r="S73" s="6">
        <f t="shared" si="10"/>
        <v>3.0640000000000001</v>
      </c>
      <c r="T73" s="5">
        <f t="shared" si="11"/>
        <v>4.6150000000000002</v>
      </c>
      <c r="U73" s="5">
        <v>589.82510000000002</v>
      </c>
      <c r="V73" s="5">
        <v>24.9</v>
      </c>
      <c r="W73" s="5">
        <v>6.36</v>
      </c>
      <c r="X73" s="5">
        <f t="shared" si="8"/>
        <v>301.23855975485202</v>
      </c>
      <c r="Y73" s="7">
        <f t="shared" si="9"/>
        <v>1.9754996776273399</v>
      </c>
      <c r="Z73" s="5">
        <v>2.95</v>
      </c>
      <c r="AA73" s="5">
        <f>Q73*Z73*100/U73</f>
        <v>0.97929030148089702</v>
      </c>
      <c r="AB73" s="8">
        <f t="shared" si="12"/>
        <v>29.5</v>
      </c>
    </row>
    <row r="74" spans="1:28">
      <c r="A74" s="2" t="s">
        <v>78</v>
      </c>
      <c r="B74" s="2">
        <v>1</v>
      </c>
      <c r="C74" s="3">
        <v>150</v>
      </c>
      <c r="D74" s="2" t="s">
        <v>27</v>
      </c>
      <c r="E74" s="2" t="s">
        <v>101</v>
      </c>
      <c r="F74" s="11">
        <v>19.566666666666698</v>
      </c>
      <c r="G74" s="11">
        <v>19.566666666666698</v>
      </c>
      <c r="H74" s="11">
        <v>306</v>
      </c>
      <c r="I74" s="11">
        <v>810.66666666666697</v>
      </c>
      <c r="J74" s="12">
        <v>6.8633329999999999</v>
      </c>
      <c r="K74" s="12">
        <f t="shared" si="7"/>
        <v>2.8508986328751198</v>
      </c>
      <c r="L74" s="11">
        <v>97.23227</v>
      </c>
      <c r="M74" s="11">
        <v>347.8168</v>
      </c>
      <c r="N74" s="11">
        <v>2.116295</v>
      </c>
      <c r="O74" s="5">
        <v>2.202</v>
      </c>
      <c r="P74" s="5">
        <v>0.49299999999999999</v>
      </c>
      <c r="Q74" s="5">
        <v>0.94399999999999995</v>
      </c>
      <c r="R74" s="5">
        <v>0.98599999999999999</v>
      </c>
      <c r="S74" s="6">
        <f t="shared" si="10"/>
        <v>1.4790000000000001</v>
      </c>
      <c r="T74" s="5">
        <f t="shared" si="11"/>
        <v>3.681</v>
      </c>
      <c r="U74" s="5">
        <v>166.70699999999999</v>
      </c>
      <c r="V74" s="5">
        <v>6.8</v>
      </c>
      <c r="W74" s="5">
        <v>5.05</v>
      </c>
      <c r="X74" s="5">
        <f t="shared" si="8"/>
        <v>176.59639830508499</v>
      </c>
      <c r="Y74" s="7">
        <f t="shared" si="9"/>
        <v>0.67166212534059999</v>
      </c>
      <c r="Z74" s="5">
        <v>3.71</v>
      </c>
      <c r="AA74" s="5">
        <f>Q74*Z74*100/U74</f>
        <v>2.1008355977853399</v>
      </c>
      <c r="AB74" s="8">
        <f t="shared" si="12"/>
        <v>37.1</v>
      </c>
    </row>
    <row r="75" spans="1:28">
      <c r="A75" s="2" t="s">
        <v>78</v>
      </c>
      <c r="B75" s="2">
        <v>1</v>
      </c>
      <c r="C75" s="3">
        <v>150</v>
      </c>
      <c r="D75" s="2" t="s">
        <v>27</v>
      </c>
      <c r="E75" s="5" t="s">
        <v>102</v>
      </c>
      <c r="G75" s="12"/>
      <c r="I75" s="12"/>
      <c r="J75" s="12"/>
      <c r="K75" s="12"/>
      <c r="L75" s="11"/>
      <c r="O75" s="5">
        <v>1.6579999999999999</v>
      </c>
      <c r="P75" s="5">
        <v>0.86299999999999999</v>
      </c>
      <c r="Q75" s="5">
        <v>1.33</v>
      </c>
      <c r="R75" s="5">
        <v>1.4019999999999999</v>
      </c>
      <c r="S75" s="6">
        <f t="shared" si="10"/>
        <v>2.2650000000000001</v>
      </c>
      <c r="T75" s="5">
        <f t="shared" si="11"/>
        <v>3.923</v>
      </c>
      <c r="U75" s="5">
        <v>371.5566</v>
      </c>
      <c r="V75" s="5">
        <v>11.5</v>
      </c>
      <c r="W75" s="5">
        <v>7.82</v>
      </c>
      <c r="X75" s="5">
        <f t="shared" si="8"/>
        <v>279.36586466165397</v>
      </c>
      <c r="Y75" s="7">
        <f t="shared" si="9"/>
        <v>1.3661037394451101</v>
      </c>
      <c r="Z75" s="2"/>
      <c r="AA75" s="2"/>
    </row>
    <row r="76" spans="1:28">
      <c r="A76" s="2" t="s">
        <v>78</v>
      </c>
      <c r="B76" s="2">
        <v>1</v>
      </c>
      <c r="C76" s="3">
        <v>150</v>
      </c>
      <c r="D76" s="2" t="s">
        <v>27</v>
      </c>
      <c r="E76" s="5" t="s">
        <v>103</v>
      </c>
      <c r="G76" s="12"/>
      <c r="I76" s="12"/>
      <c r="J76" s="12"/>
      <c r="K76" s="12"/>
      <c r="L76" s="11"/>
      <c r="O76" s="5">
        <v>1.806</v>
      </c>
      <c r="P76" s="5">
        <v>0.66400000000000003</v>
      </c>
      <c r="Q76" s="5">
        <v>1.329</v>
      </c>
      <c r="R76" s="5">
        <v>1.3919999999999999</v>
      </c>
      <c r="S76" s="6">
        <f t="shared" si="10"/>
        <v>2.056</v>
      </c>
      <c r="T76" s="5">
        <f t="shared" si="11"/>
        <v>3.8620000000000001</v>
      </c>
      <c r="U76" s="5">
        <v>382.20940000000002</v>
      </c>
      <c r="V76" s="5">
        <v>11.7</v>
      </c>
      <c r="W76" s="5">
        <v>6.92</v>
      </c>
      <c r="X76" s="5">
        <f t="shared" si="8"/>
        <v>287.591723100075</v>
      </c>
      <c r="Y76" s="7">
        <f t="shared" si="9"/>
        <v>1.1384274640088601</v>
      </c>
      <c r="Z76" s="2"/>
      <c r="AA76" s="2"/>
    </row>
    <row r="77" spans="1:28">
      <c r="A77" s="2" t="s">
        <v>78</v>
      </c>
      <c r="B77" s="2">
        <v>2</v>
      </c>
      <c r="C77" s="3">
        <v>150</v>
      </c>
      <c r="D77" s="2" t="s">
        <v>27</v>
      </c>
      <c r="E77" s="2" t="s">
        <v>104</v>
      </c>
      <c r="F77" s="11">
        <v>20.9</v>
      </c>
      <c r="G77" s="11">
        <v>20.9</v>
      </c>
      <c r="H77" s="11">
        <v>294</v>
      </c>
      <c r="I77" s="11">
        <v>683.66666666666697</v>
      </c>
      <c r="J77" s="12">
        <v>6.5</v>
      </c>
      <c r="K77" s="12">
        <f t="shared" si="7"/>
        <v>3.2153846153846199</v>
      </c>
      <c r="L77" s="11">
        <v>108.9922</v>
      </c>
      <c r="M77" s="11">
        <v>529.17930000000001</v>
      </c>
      <c r="N77" s="11">
        <v>2.8178649999999998</v>
      </c>
      <c r="O77" s="5">
        <v>2.7450000000000001</v>
      </c>
      <c r="P77" s="5">
        <v>0.95099999999999996</v>
      </c>
      <c r="Q77" s="5">
        <v>2.133</v>
      </c>
      <c r="R77" s="5">
        <v>2.2450000000000001</v>
      </c>
      <c r="S77" s="6">
        <f t="shared" si="10"/>
        <v>3.1960000000000002</v>
      </c>
      <c r="T77" s="5">
        <f t="shared" si="11"/>
        <v>5.9409999999999998</v>
      </c>
      <c r="U77" s="5">
        <v>514.80250000000001</v>
      </c>
      <c r="V77" s="5">
        <v>20.5</v>
      </c>
      <c r="W77" s="5">
        <v>6.59</v>
      </c>
      <c r="X77" s="5">
        <f t="shared" si="8"/>
        <v>241.35138302859801</v>
      </c>
      <c r="Y77" s="7">
        <f t="shared" si="9"/>
        <v>1.1642987249544601</v>
      </c>
      <c r="Z77" s="5">
        <v>3.27</v>
      </c>
      <c r="AA77" s="5">
        <f>Q77*Z77*100/U77</f>
        <v>1.35487104277854</v>
      </c>
      <c r="AB77" s="8">
        <f t="shared" si="12"/>
        <v>32.700000000000003</v>
      </c>
    </row>
    <row r="78" spans="1:28">
      <c r="A78" s="2" t="s">
        <v>78</v>
      </c>
      <c r="B78" s="2">
        <v>2</v>
      </c>
      <c r="C78" s="3">
        <v>150</v>
      </c>
      <c r="D78" s="2" t="s">
        <v>27</v>
      </c>
      <c r="E78" s="2" t="s">
        <v>105</v>
      </c>
      <c r="F78" s="11">
        <v>19.3333333333333</v>
      </c>
      <c r="G78" s="11">
        <v>19.3333333333333</v>
      </c>
      <c r="H78" s="11">
        <v>304.66666666666703</v>
      </c>
      <c r="I78" s="11">
        <v>733</v>
      </c>
      <c r="J78" s="12">
        <v>5.94</v>
      </c>
      <c r="K78" s="12">
        <f t="shared" si="7"/>
        <v>3.2547699214365902</v>
      </c>
      <c r="L78" s="11">
        <v>93.802009999999996</v>
      </c>
      <c r="M78" s="11">
        <v>265.31490000000002</v>
      </c>
      <c r="N78" s="11">
        <v>1.387931</v>
      </c>
      <c r="O78" s="5">
        <v>2.996</v>
      </c>
      <c r="P78" s="5">
        <v>0.97699999999999998</v>
      </c>
      <c r="Q78" s="5">
        <v>1.964</v>
      </c>
      <c r="R78" s="5">
        <v>2.0670000000000002</v>
      </c>
      <c r="S78" s="6">
        <f t="shared" si="10"/>
        <v>3.044</v>
      </c>
      <c r="T78" s="5">
        <f t="shared" si="11"/>
        <v>6.04</v>
      </c>
      <c r="U78" s="5">
        <v>504.07749999999999</v>
      </c>
      <c r="V78" s="5">
        <v>3</v>
      </c>
      <c r="W78" s="5">
        <v>8.65</v>
      </c>
      <c r="X78" s="5">
        <f t="shared" si="8"/>
        <v>256.65860488798398</v>
      </c>
      <c r="Y78" s="7">
        <f t="shared" si="9"/>
        <v>1.0160213618157501</v>
      </c>
      <c r="Z78" s="5">
        <v>3.28</v>
      </c>
      <c r="AA78" s="5">
        <f>Q78*Z78*100/U78</f>
        <v>1.2779622181113</v>
      </c>
      <c r="AB78" s="8">
        <f t="shared" si="12"/>
        <v>32.799999999999997</v>
      </c>
    </row>
    <row r="79" spans="1:28">
      <c r="A79" s="2" t="s">
        <v>78</v>
      </c>
      <c r="B79" s="2">
        <v>2</v>
      </c>
      <c r="C79" s="3">
        <v>150</v>
      </c>
      <c r="D79" s="2" t="s">
        <v>27</v>
      </c>
      <c r="E79" s="2" t="s">
        <v>106</v>
      </c>
      <c r="F79" s="11">
        <v>19.566666666666698</v>
      </c>
      <c r="G79" s="11">
        <v>19.566666666666698</v>
      </c>
      <c r="H79" s="11">
        <v>307.33333333333297</v>
      </c>
      <c r="I79" s="11">
        <v>769.66666666666697</v>
      </c>
      <c r="J79" s="12">
        <v>6.5933330000000003</v>
      </c>
      <c r="K79" s="12">
        <f t="shared" si="7"/>
        <v>2.9676442349668499</v>
      </c>
      <c r="L79" s="11">
        <v>92.658969999999997</v>
      </c>
      <c r="M79" s="11">
        <v>258.23989999999998</v>
      </c>
      <c r="N79" s="11">
        <v>1.7179599999999999</v>
      </c>
      <c r="O79" s="5">
        <v>3.2050000000000001</v>
      </c>
      <c r="P79" s="5">
        <v>1.339</v>
      </c>
      <c r="Q79" s="5">
        <v>2.5329999999999999</v>
      </c>
      <c r="R79" s="5">
        <v>2.6829999999999998</v>
      </c>
      <c r="S79" s="6">
        <f t="shared" si="10"/>
        <v>4.0220000000000002</v>
      </c>
      <c r="T79" s="5">
        <f t="shared" si="11"/>
        <v>7.2270000000000003</v>
      </c>
      <c r="U79" s="5">
        <v>667.97850000000005</v>
      </c>
      <c r="V79" s="5">
        <v>20.5</v>
      </c>
      <c r="W79" s="5">
        <v>9.35</v>
      </c>
      <c r="X79" s="5">
        <f t="shared" si="8"/>
        <v>263.71042242400301</v>
      </c>
      <c r="Y79" s="7">
        <f t="shared" si="9"/>
        <v>1.2549141965678601</v>
      </c>
      <c r="Z79" s="5">
        <v>2.78</v>
      </c>
      <c r="AA79" s="5">
        <f>Q79*Z79*100/U79</f>
        <v>1.0541866242700899</v>
      </c>
      <c r="AB79" s="8">
        <f t="shared" si="12"/>
        <v>27.8</v>
      </c>
    </row>
    <row r="80" spans="1:28">
      <c r="A80" s="2" t="s">
        <v>78</v>
      </c>
      <c r="B80" s="2">
        <v>2</v>
      </c>
      <c r="C80" s="3">
        <v>150</v>
      </c>
      <c r="D80" s="2" t="s">
        <v>27</v>
      </c>
      <c r="E80" s="5" t="s">
        <v>107</v>
      </c>
      <c r="G80" s="12"/>
      <c r="I80" s="12"/>
      <c r="J80" s="12"/>
      <c r="K80" s="12"/>
      <c r="L80" s="11"/>
      <c r="O80" s="5">
        <v>3.1269999999999998</v>
      </c>
      <c r="P80" s="5">
        <v>0.77</v>
      </c>
      <c r="Q80" s="5">
        <v>1.77</v>
      </c>
      <c r="R80" s="5">
        <v>1.8680000000000001</v>
      </c>
      <c r="S80" s="6">
        <f t="shared" si="10"/>
        <v>2.6379999999999999</v>
      </c>
      <c r="T80" s="5">
        <f t="shared" si="11"/>
        <v>5.7649999999999997</v>
      </c>
      <c r="U80" s="5">
        <v>386.88409999999999</v>
      </c>
      <c r="V80" s="5">
        <v>5.5</v>
      </c>
      <c r="W80" s="5">
        <v>7.93</v>
      </c>
      <c r="X80" s="5">
        <f t="shared" si="8"/>
        <v>218.57858757062101</v>
      </c>
      <c r="Y80" s="7">
        <f t="shared" si="9"/>
        <v>0.84362008314678605</v>
      </c>
    </row>
    <row r="81" spans="1:28">
      <c r="A81" s="2" t="s">
        <v>78</v>
      </c>
      <c r="B81" s="2">
        <v>2</v>
      </c>
      <c r="C81" s="3">
        <v>150</v>
      </c>
      <c r="D81" s="2" t="s">
        <v>27</v>
      </c>
      <c r="E81" s="5" t="s">
        <v>108</v>
      </c>
      <c r="G81" s="12"/>
      <c r="I81" s="12"/>
      <c r="J81" s="12"/>
      <c r="K81" s="12"/>
      <c r="L81" s="11"/>
      <c r="O81" s="5">
        <v>2.996</v>
      </c>
      <c r="P81" s="5">
        <v>1.216</v>
      </c>
      <c r="Q81" s="5">
        <v>2.1970000000000001</v>
      </c>
      <c r="R81" s="5">
        <v>2.31</v>
      </c>
      <c r="S81" s="6">
        <f t="shared" si="10"/>
        <v>3.5259999999999998</v>
      </c>
      <c r="T81" s="5">
        <f t="shared" si="11"/>
        <v>6.5220000000000002</v>
      </c>
      <c r="U81" s="5">
        <v>591.44830000000002</v>
      </c>
      <c r="V81" s="5">
        <v>18.5</v>
      </c>
      <c r="W81" s="5">
        <v>7.92</v>
      </c>
      <c r="X81" s="5">
        <f t="shared" si="8"/>
        <v>269.20723714155702</v>
      </c>
      <c r="Y81" s="7">
        <f t="shared" si="9"/>
        <v>1.1769025367156201</v>
      </c>
    </row>
    <row r="82" spans="1:28">
      <c r="A82" s="2" t="s">
        <v>78</v>
      </c>
      <c r="B82" s="2">
        <v>1</v>
      </c>
      <c r="C82" s="3">
        <v>220</v>
      </c>
      <c r="D82" s="2" t="s">
        <v>27</v>
      </c>
      <c r="E82" s="2" t="s">
        <v>109</v>
      </c>
      <c r="F82" s="11">
        <v>21.1</v>
      </c>
      <c r="G82" s="11">
        <v>21.1</v>
      </c>
      <c r="H82" s="11">
        <v>294.33333333333297</v>
      </c>
      <c r="I82" s="11">
        <v>711.66666666666697</v>
      </c>
      <c r="J82" s="12">
        <v>5.89</v>
      </c>
      <c r="K82" s="12">
        <f t="shared" si="7"/>
        <v>3.5823429541595901</v>
      </c>
      <c r="L82" s="11">
        <v>92.640110000000007</v>
      </c>
      <c r="M82" s="11">
        <v>346.50250999999997</v>
      </c>
      <c r="N82" s="11">
        <v>0.38447999999999999</v>
      </c>
      <c r="O82" s="5">
        <v>2.427</v>
      </c>
      <c r="P82" s="21">
        <v>1.321</v>
      </c>
      <c r="Q82" s="5">
        <v>2.7370000000000001</v>
      </c>
      <c r="R82" s="5">
        <v>2.9</v>
      </c>
      <c r="S82" s="6">
        <f t="shared" si="10"/>
        <v>4.2210000000000001</v>
      </c>
      <c r="T82" s="5">
        <f t="shared" si="11"/>
        <v>6.6479999999999997</v>
      </c>
      <c r="U82" s="5">
        <v>868.96699999999998</v>
      </c>
      <c r="V82" s="5">
        <v>26.1</v>
      </c>
      <c r="W82" s="5">
        <v>7.02</v>
      </c>
      <c r="X82" s="5">
        <f t="shared" si="8"/>
        <v>317.48885641213002</v>
      </c>
      <c r="Y82" s="7">
        <f t="shared" si="9"/>
        <v>1.7391841779975299</v>
      </c>
      <c r="Z82" s="5">
        <v>3.56</v>
      </c>
      <c r="AA82" s="5">
        <f>Q82*Z82*100/U82</f>
        <v>1.1212991977831099</v>
      </c>
      <c r="AB82" s="8">
        <f t="shared" si="12"/>
        <v>35.6</v>
      </c>
    </row>
    <row r="83" spans="1:28">
      <c r="A83" s="2" t="s">
        <v>78</v>
      </c>
      <c r="B83" s="2">
        <v>1</v>
      </c>
      <c r="C83" s="3">
        <v>220</v>
      </c>
      <c r="D83" s="2" t="s">
        <v>27</v>
      </c>
      <c r="E83" s="2" t="s">
        <v>110</v>
      </c>
      <c r="F83" s="11">
        <v>20.5</v>
      </c>
      <c r="G83" s="11">
        <v>20.5</v>
      </c>
      <c r="H83" s="11">
        <v>289</v>
      </c>
      <c r="I83" s="11">
        <v>628.33333333333303</v>
      </c>
      <c r="J83" s="12">
        <v>5.9666670000000002</v>
      </c>
      <c r="K83" s="12">
        <f t="shared" si="7"/>
        <v>3.43575399800257</v>
      </c>
      <c r="L83" s="11">
        <v>98.712590000000006</v>
      </c>
      <c r="M83" s="11">
        <v>440.12369999999999</v>
      </c>
      <c r="N83" s="11">
        <v>1.201055</v>
      </c>
      <c r="O83" s="5">
        <v>2.1880000000000002</v>
      </c>
      <c r="P83" s="5">
        <v>1.087</v>
      </c>
      <c r="Q83" s="5">
        <v>2.7090000000000001</v>
      </c>
      <c r="R83" s="5">
        <v>2.8940000000000001</v>
      </c>
      <c r="S83" s="6">
        <f t="shared" si="10"/>
        <v>3.9809999999999999</v>
      </c>
      <c r="T83" s="5">
        <f t="shared" si="11"/>
        <v>6.1689999999999996</v>
      </c>
      <c r="U83" s="5">
        <v>676.52070000000003</v>
      </c>
      <c r="V83" s="5">
        <v>18.5</v>
      </c>
      <c r="W83" s="5">
        <v>7.84</v>
      </c>
      <c r="X83" s="5">
        <f t="shared" si="8"/>
        <v>249.730786267996</v>
      </c>
      <c r="Y83" s="7">
        <f t="shared" si="9"/>
        <v>1.81946983546618</v>
      </c>
      <c r="Z83" s="5">
        <v>3.55</v>
      </c>
      <c r="AA83" s="5">
        <f>Q83*Z83*100/U83</f>
        <v>1.42153078242839</v>
      </c>
      <c r="AB83" s="8">
        <f t="shared" si="12"/>
        <v>35.5</v>
      </c>
    </row>
    <row r="84" spans="1:28">
      <c r="A84" s="2" t="s">
        <v>78</v>
      </c>
      <c r="B84" s="2">
        <v>1</v>
      </c>
      <c r="C84" s="3">
        <v>220</v>
      </c>
      <c r="D84" s="2" t="s">
        <v>27</v>
      </c>
      <c r="E84" s="2" t="s">
        <v>111</v>
      </c>
      <c r="F84" s="11">
        <v>20.5</v>
      </c>
      <c r="G84" s="11">
        <v>20.5</v>
      </c>
      <c r="H84" s="11">
        <v>300.33333333333297</v>
      </c>
      <c r="I84" s="11">
        <v>784.66666666666697</v>
      </c>
      <c r="J84" s="12">
        <v>6.84</v>
      </c>
      <c r="K84" s="12">
        <f t="shared" si="7"/>
        <v>2.9970760233918101</v>
      </c>
      <c r="L84" s="11">
        <v>101.58759999999999</v>
      </c>
      <c r="M84" s="11">
        <v>475.68950000000001</v>
      </c>
      <c r="N84" s="11">
        <v>1.877297</v>
      </c>
      <c r="O84" s="5">
        <v>3.0950000000000002</v>
      </c>
      <c r="P84" s="5">
        <v>0.71299999999999997</v>
      </c>
      <c r="Q84" s="5">
        <v>1.0780000000000001</v>
      </c>
      <c r="R84" s="5">
        <v>1.115</v>
      </c>
      <c r="S84" s="6">
        <f t="shared" si="10"/>
        <v>1.8280000000000001</v>
      </c>
      <c r="T84" s="5">
        <f t="shared" si="11"/>
        <v>4.923</v>
      </c>
      <c r="U84" s="5">
        <v>215.60040000000001</v>
      </c>
      <c r="V84" s="5">
        <v>8.6999999999999993</v>
      </c>
      <c r="W84" s="5">
        <v>7.68</v>
      </c>
      <c r="X84" s="5">
        <f t="shared" si="8"/>
        <v>200.000371057514</v>
      </c>
      <c r="Y84" s="7">
        <f t="shared" si="9"/>
        <v>0.59063004846526601</v>
      </c>
      <c r="Z84" s="5">
        <v>4.07</v>
      </c>
      <c r="AA84" s="5">
        <f>Q84*Z84*100/U84</f>
        <v>2.0349962244967998</v>
      </c>
      <c r="AB84" s="8">
        <f t="shared" si="12"/>
        <v>40.700000000000003</v>
      </c>
    </row>
    <row r="85" spans="1:28">
      <c r="A85" s="2" t="s">
        <v>78</v>
      </c>
      <c r="B85" s="2">
        <v>1</v>
      </c>
      <c r="C85" s="3">
        <v>220</v>
      </c>
      <c r="D85" s="2" t="s">
        <v>27</v>
      </c>
      <c r="E85" s="5" t="s">
        <v>112</v>
      </c>
      <c r="G85" s="12"/>
      <c r="I85" s="12"/>
      <c r="J85" s="12"/>
      <c r="K85" s="12"/>
      <c r="L85" s="11"/>
      <c r="O85" s="5">
        <v>2.246</v>
      </c>
      <c r="P85" s="5">
        <v>0.75700000000000001</v>
      </c>
      <c r="Q85" s="5">
        <v>1.2669999999999999</v>
      </c>
      <c r="R85" s="5">
        <v>1.321</v>
      </c>
      <c r="S85" s="6">
        <f t="shared" si="10"/>
        <v>2.0779999999999998</v>
      </c>
      <c r="T85" s="5">
        <f t="shared" si="11"/>
        <v>4.3239999999999998</v>
      </c>
      <c r="U85" s="5">
        <v>294.50450000000001</v>
      </c>
      <c r="V85" s="5">
        <v>9.1999999999999993</v>
      </c>
      <c r="W85" s="5">
        <v>7.35</v>
      </c>
      <c r="X85" s="5">
        <f t="shared" si="8"/>
        <v>232.442383583268</v>
      </c>
      <c r="Y85" s="7">
        <f t="shared" si="9"/>
        <v>0.92520035618878005</v>
      </c>
      <c r="Z85" s="2"/>
      <c r="AA85" s="2"/>
    </row>
    <row r="86" spans="1:28">
      <c r="A86" s="2" t="s">
        <v>78</v>
      </c>
      <c r="B86" s="2">
        <v>1</v>
      </c>
      <c r="C86" s="3">
        <v>220</v>
      </c>
      <c r="D86" s="2" t="s">
        <v>27</v>
      </c>
      <c r="E86" s="5" t="s">
        <v>113</v>
      </c>
      <c r="G86" s="12"/>
      <c r="I86" s="12"/>
      <c r="J86" s="12"/>
      <c r="K86" s="12"/>
      <c r="L86" s="11"/>
      <c r="O86" s="5">
        <v>2.5990000000000002</v>
      </c>
      <c r="P86" s="5">
        <v>1.167</v>
      </c>
      <c r="Q86" s="5">
        <v>2.1339999999999999</v>
      </c>
      <c r="R86" s="5">
        <v>2.2309999999999999</v>
      </c>
      <c r="S86" s="6">
        <f t="shared" si="10"/>
        <v>3.3980000000000001</v>
      </c>
      <c r="T86" s="5">
        <f t="shared" si="11"/>
        <v>5.9969999999999999</v>
      </c>
      <c r="U86" s="5">
        <v>542.81619999999998</v>
      </c>
      <c r="V86" s="5">
        <v>17.5</v>
      </c>
      <c r="W86" s="5">
        <v>6.14</v>
      </c>
      <c r="X86" s="5">
        <f t="shared" si="8"/>
        <v>254.365604498594</v>
      </c>
      <c r="Y86" s="7">
        <f t="shared" si="9"/>
        <v>1.3074259330511699</v>
      </c>
      <c r="Z86" s="2"/>
      <c r="AA86" s="2"/>
    </row>
    <row r="87" spans="1:28">
      <c r="A87" s="2" t="s">
        <v>78</v>
      </c>
      <c r="B87" s="2">
        <v>2</v>
      </c>
      <c r="C87" s="3">
        <v>220</v>
      </c>
      <c r="D87" s="2" t="s">
        <v>27</v>
      </c>
      <c r="E87" s="2" t="s">
        <v>114</v>
      </c>
      <c r="F87" s="11">
        <v>20.266666666666701</v>
      </c>
      <c r="G87" s="11">
        <v>20.266666666666701</v>
      </c>
      <c r="H87" s="11">
        <v>301.66666666666703</v>
      </c>
      <c r="I87" s="11">
        <v>766.33333333333303</v>
      </c>
      <c r="J87" s="12">
        <v>6.2866669999999996</v>
      </c>
      <c r="K87" s="12">
        <f t="shared" si="7"/>
        <v>3.2237538057394599</v>
      </c>
      <c r="L87" s="11">
        <v>95.766570000000002</v>
      </c>
      <c r="M87" s="11">
        <v>351.74650000000003</v>
      </c>
      <c r="N87" s="11">
        <v>1.499306</v>
      </c>
      <c r="O87" s="5">
        <v>2.6869999999999998</v>
      </c>
      <c r="P87" s="5">
        <v>1.1539999999999999</v>
      </c>
      <c r="Q87" s="5">
        <v>2.6240000000000001</v>
      </c>
      <c r="R87" s="5">
        <v>3.282</v>
      </c>
      <c r="S87" s="6">
        <f t="shared" si="10"/>
        <v>4.4359999999999999</v>
      </c>
      <c r="T87" s="5">
        <f t="shared" si="11"/>
        <v>7.1230000000000002</v>
      </c>
      <c r="U87" s="5">
        <v>750.85429999999997</v>
      </c>
      <c r="V87" s="5">
        <v>10.8</v>
      </c>
      <c r="W87" s="5">
        <v>6.3</v>
      </c>
      <c r="X87" s="5">
        <f t="shared" si="8"/>
        <v>286.14874237804901</v>
      </c>
      <c r="Y87" s="7">
        <f t="shared" si="9"/>
        <v>1.65091179754373</v>
      </c>
      <c r="Z87" s="5">
        <v>3.79</v>
      </c>
      <c r="AA87" s="5">
        <f>Q87*Z87*100/U87</f>
        <v>1.3244859888263301</v>
      </c>
      <c r="AB87" s="8">
        <f t="shared" si="12"/>
        <v>37.9</v>
      </c>
    </row>
    <row r="88" spans="1:28">
      <c r="A88" s="2" t="s">
        <v>78</v>
      </c>
      <c r="B88" s="2">
        <v>2</v>
      </c>
      <c r="C88" s="3">
        <v>220</v>
      </c>
      <c r="D88" s="2" t="s">
        <v>27</v>
      </c>
      <c r="E88" s="2" t="s">
        <v>115</v>
      </c>
      <c r="F88" s="11">
        <v>18.8333333333333</v>
      </c>
      <c r="G88" s="11">
        <v>18.8333333333333</v>
      </c>
      <c r="H88" s="11">
        <v>279</v>
      </c>
      <c r="I88" s="11">
        <v>441.66666666666703</v>
      </c>
      <c r="J88" s="12">
        <v>4.9633330000000004</v>
      </c>
      <c r="K88" s="12">
        <f t="shared" si="7"/>
        <v>3.7944932031224399</v>
      </c>
      <c r="L88" s="11">
        <v>89.092389999999995</v>
      </c>
      <c r="M88" s="11">
        <v>270.56779999999998</v>
      </c>
      <c r="N88" s="11">
        <v>2.0098400000000001</v>
      </c>
      <c r="O88" s="5">
        <v>4.21</v>
      </c>
      <c r="P88" s="5">
        <v>1.4850000000000001</v>
      </c>
      <c r="Q88" s="5">
        <v>2.7589999999999999</v>
      </c>
      <c r="R88" s="5">
        <v>2.9329999999999998</v>
      </c>
      <c r="S88" s="6">
        <f t="shared" si="10"/>
        <v>4.4180000000000001</v>
      </c>
      <c r="T88" s="5">
        <f t="shared" si="11"/>
        <v>8.6280000000000001</v>
      </c>
      <c r="U88" s="5">
        <v>679.91020000000003</v>
      </c>
      <c r="V88" s="5">
        <v>25.2</v>
      </c>
      <c r="W88" s="5">
        <v>7.24</v>
      </c>
      <c r="X88" s="5">
        <f t="shared" si="8"/>
        <v>246.43356288510299</v>
      </c>
      <c r="Y88" s="7">
        <f t="shared" si="9"/>
        <v>1.0494061757719699</v>
      </c>
      <c r="Z88" s="5">
        <v>3.45</v>
      </c>
      <c r="AA88" s="5">
        <f>Q88*Z88*100/U88</f>
        <v>1.3999716433140701</v>
      </c>
      <c r="AB88" s="8">
        <f t="shared" si="12"/>
        <v>34.5</v>
      </c>
    </row>
    <row r="89" spans="1:28">
      <c r="A89" s="2" t="s">
        <v>78</v>
      </c>
      <c r="B89" s="2">
        <v>2</v>
      </c>
      <c r="C89" s="3">
        <v>220</v>
      </c>
      <c r="D89" s="2" t="s">
        <v>27</v>
      </c>
      <c r="E89" s="2" t="s">
        <v>116</v>
      </c>
      <c r="F89" s="11">
        <v>16.3</v>
      </c>
      <c r="G89" s="11">
        <v>16.3</v>
      </c>
      <c r="H89" s="11">
        <v>300</v>
      </c>
      <c r="I89" s="11">
        <v>513.33333333333303</v>
      </c>
      <c r="J89" s="12">
        <v>6.04</v>
      </c>
      <c r="K89" s="12">
        <f t="shared" si="7"/>
        <v>2.6986754966887401</v>
      </c>
      <c r="L89" s="11">
        <v>83.282390000000007</v>
      </c>
      <c r="M89" s="11">
        <v>208.95689999999999</v>
      </c>
      <c r="N89" s="11">
        <v>1.919735</v>
      </c>
      <c r="O89" s="5">
        <v>3.2250000000000001</v>
      </c>
      <c r="P89" s="5">
        <v>2.0960000000000001</v>
      </c>
      <c r="Q89" s="5">
        <v>2.907</v>
      </c>
      <c r="R89" s="5">
        <v>3.0409999999999999</v>
      </c>
      <c r="S89" s="6">
        <f t="shared" si="10"/>
        <v>5.1369999999999996</v>
      </c>
      <c r="T89" s="5">
        <f t="shared" si="11"/>
        <v>8.3620000000000001</v>
      </c>
      <c r="U89" s="5">
        <v>685.07659999999998</v>
      </c>
      <c r="V89" s="5">
        <v>32.5</v>
      </c>
      <c r="W89" s="5">
        <v>8.9600000000000009</v>
      </c>
      <c r="X89" s="5">
        <f t="shared" si="8"/>
        <v>235.66446508427899</v>
      </c>
      <c r="Y89" s="7">
        <f t="shared" si="9"/>
        <v>1.5928682170542601</v>
      </c>
      <c r="Z89" s="5">
        <v>3.3</v>
      </c>
      <c r="AA89" s="5">
        <f>Q89*Z89*100/U89</f>
        <v>1.40029596690356</v>
      </c>
      <c r="AB89" s="8">
        <f t="shared" si="12"/>
        <v>33</v>
      </c>
    </row>
    <row r="90" spans="1:28">
      <c r="A90" s="2" t="s">
        <v>78</v>
      </c>
      <c r="B90" s="2">
        <v>2</v>
      </c>
      <c r="C90" s="3">
        <v>220</v>
      </c>
      <c r="D90" s="2" t="s">
        <v>27</v>
      </c>
      <c r="E90" s="5" t="s">
        <v>117</v>
      </c>
      <c r="G90" s="12"/>
      <c r="I90" s="12"/>
      <c r="J90" s="12"/>
      <c r="K90" s="12"/>
      <c r="L90" s="11"/>
      <c r="O90" s="5">
        <v>3.0430000000000001</v>
      </c>
      <c r="P90" s="5">
        <v>1.2649999999999999</v>
      </c>
      <c r="Q90" s="5">
        <v>2.9380000000000002</v>
      </c>
      <c r="R90" s="5">
        <v>3.141</v>
      </c>
      <c r="S90" s="6">
        <f t="shared" si="10"/>
        <v>4.4059999999999997</v>
      </c>
      <c r="T90" s="5">
        <f t="shared" si="11"/>
        <v>7.4489999999999998</v>
      </c>
      <c r="U90" s="5">
        <v>665.60530000000006</v>
      </c>
      <c r="V90" s="5">
        <v>21.2</v>
      </c>
      <c r="W90" s="5">
        <v>7</v>
      </c>
      <c r="X90" s="5">
        <f t="shared" si="8"/>
        <v>226.55047651463599</v>
      </c>
      <c r="Y90" s="7">
        <f t="shared" si="9"/>
        <v>1.44791324350969</v>
      </c>
    </row>
    <row r="91" spans="1:28">
      <c r="A91" s="2" t="s">
        <v>78</v>
      </c>
      <c r="B91" s="2">
        <v>2</v>
      </c>
      <c r="C91" s="3">
        <v>220</v>
      </c>
      <c r="D91" s="2" t="s">
        <v>27</v>
      </c>
      <c r="E91" s="5" t="s">
        <v>118</v>
      </c>
      <c r="G91" s="12"/>
      <c r="I91" s="12"/>
      <c r="J91" s="12"/>
      <c r="K91" s="12"/>
      <c r="L91" s="11"/>
      <c r="O91" s="5">
        <v>1.9830000000000001</v>
      </c>
      <c r="P91" s="5">
        <v>0.81799999999999995</v>
      </c>
      <c r="Q91" s="5">
        <v>1.6180000000000001</v>
      </c>
      <c r="R91" s="5">
        <v>1.716</v>
      </c>
      <c r="S91" s="6">
        <f t="shared" si="10"/>
        <v>2.5339999999999998</v>
      </c>
      <c r="T91" s="5">
        <f t="shared" si="11"/>
        <v>4.5170000000000003</v>
      </c>
      <c r="U91" s="5">
        <v>489.7176</v>
      </c>
      <c r="V91" s="5">
        <v>12.1</v>
      </c>
      <c r="W91" s="5">
        <v>7.28</v>
      </c>
      <c r="X91" s="5">
        <f t="shared" si="8"/>
        <v>302.66847960445</v>
      </c>
      <c r="Y91" s="7">
        <f t="shared" si="9"/>
        <v>1.2778618255168901</v>
      </c>
    </row>
    <row r="92" spans="1:28">
      <c r="A92" s="2" t="s">
        <v>78</v>
      </c>
      <c r="B92" s="2">
        <v>1</v>
      </c>
      <c r="C92" s="3">
        <v>290</v>
      </c>
      <c r="D92" s="2" t="s">
        <v>27</v>
      </c>
      <c r="E92" s="2" t="s">
        <v>119</v>
      </c>
      <c r="F92" s="11">
        <v>20.8</v>
      </c>
      <c r="G92" s="11">
        <v>20.8</v>
      </c>
      <c r="H92" s="11">
        <v>305.33333333333297</v>
      </c>
      <c r="I92" s="11">
        <v>846.66666666666697</v>
      </c>
      <c r="J92" s="12">
        <v>6.2166670000000002</v>
      </c>
      <c r="K92" s="12">
        <f t="shared" si="7"/>
        <v>3.3458443246196099</v>
      </c>
      <c r="L92" s="11">
        <v>94.884230000000002</v>
      </c>
      <c r="M92" s="11">
        <v>335.70089999999999</v>
      </c>
      <c r="N92" s="11">
        <v>1.14076</v>
      </c>
      <c r="O92" s="5">
        <v>2.3050000000000002</v>
      </c>
      <c r="P92" s="5">
        <v>2.778</v>
      </c>
      <c r="Q92" s="5">
        <v>3.8919999999999999</v>
      </c>
      <c r="R92" s="5">
        <v>4.1369999999999996</v>
      </c>
      <c r="S92" s="6">
        <f t="shared" si="10"/>
        <v>6.915</v>
      </c>
      <c r="T92" s="5">
        <f t="shared" si="11"/>
        <v>9.2200000000000006</v>
      </c>
      <c r="U92" s="5">
        <v>1205.123</v>
      </c>
      <c r="V92" s="5">
        <v>47.9</v>
      </c>
      <c r="W92" s="5">
        <v>8.43</v>
      </c>
      <c r="X92" s="5">
        <f t="shared" si="8"/>
        <v>309.64105858170598</v>
      </c>
      <c r="Y92" s="7">
        <f t="shared" si="9"/>
        <v>3</v>
      </c>
      <c r="Z92" s="5">
        <v>3.78</v>
      </c>
      <c r="AA92" s="5">
        <f>Q92*Z92*100/U92</f>
        <v>1.2207683365100499</v>
      </c>
      <c r="AB92" s="8">
        <f t="shared" si="12"/>
        <v>37.799999999999997</v>
      </c>
    </row>
    <row r="93" spans="1:28">
      <c r="A93" s="2" t="s">
        <v>78</v>
      </c>
      <c r="B93" s="2">
        <v>1</v>
      </c>
      <c r="C93" s="3">
        <v>290</v>
      </c>
      <c r="D93" s="2" t="s">
        <v>27</v>
      </c>
      <c r="E93" s="2" t="s">
        <v>120</v>
      </c>
      <c r="F93" s="11">
        <v>20.233333333333299</v>
      </c>
      <c r="G93" s="11">
        <v>20.233333333333299</v>
      </c>
      <c r="H93" s="11">
        <v>294.33333333333297</v>
      </c>
      <c r="I93" s="11">
        <v>631</v>
      </c>
      <c r="J93" s="12">
        <v>5.773333</v>
      </c>
      <c r="K93" s="12">
        <f t="shared" si="7"/>
        <v>3.5046191399895599</v>
      </c>
      <c r="L93" s="11">
        <v>100.51909999999999</v>
      </c>
      <c r="M93" s="11">
        <v>419.62450000000001</v>
      </c>
      <c r="N93" s="11">
        <v>2.9392049999999998</v>
      </c>
      <c r="O93" s="5">
        <v>2.1019999999999999</v>
      </c>
      <c r="P93" s="5">
        <v>3.15</v>
      </c>
      <c r="Q93" s="5">
        <v>3.7280000000000002</v>
      </c>
      <c r="R93" s="5">
        <v>3.911</v>
      </c>
      <c r="S93" s="6">
        <f t="shared" si="10"/>
        <v>7.0609999999999999</v>
      </c>
      <c r="T93" s="5">
        <f t="shared" si="11"/>
        <v>9.1630000000000003</v>
      </c>
      <c r="U93" s="5">
        <v>1020.8653</v>
      </c>
      <c r="V93" s="5">
        <v>59.2</v>
      </c>
      <c r="W93" s="5">
        <v>8.59</v>
      </c>
      <c r="X93" s="5">
        <f t="shared" si="8"/>
        <v>273.83725858369098</v>
      </c>
      <c r="Y93" s="7">
        <f t="shared" si="9"/>
        <v>3.3591817316841102</v>
      </c>
      <c r="Z93" s="5">
        <v>3.64</v>
      </c>
      <c r="AA93" s="5">
        <f>Q93*Z93*100/U93</f>
        <v>1.32925666099142</v>
      </c>
      <c r="AB93" s="8">
        <f t="shared" si="12"/>
        <v>36.4</v>
      </c>
    </row>
    <row r="94" spans="1:28">
      <c r="A94" s="2" t="s">
        <v>78</v>
      </c>
      <c r="B94" s="2">
        <v>1</v>
      </c>
      <c r="C94" s="3">
        <v>290</v>
      </c>
      <c r="D94" s="2" t="s">
        <v>27</v>
      </c>
      <c r="E94" s="2" t="s">
        <v>121</v>
      </c>
      <c r="F94" s="11">
        <v>20.399999999999999</v>
      </c>
      <c r="G94" s="11">
        <v>20.399999999999999</v>
      </c>
      <c r="H94" s="11">
        <v>282</v>
      </c>
      <c r="I94" s="11">
        <v>559</v>
      </c>
      <c r="J94" s="12">
        <v>5.28</v>
      </c>
      <c r="K94" s="12">
        <f t="shared" si="7"/>
        <v>3.8636363636363602</v>
      </c>
      <c r="L94" s="22">
        <v>114.27831</v>
      </c>
      <c r="M94" s="23">
        <v>389.63416000000001</v>
      </c>
      <c r="N94" s="23">
        <v>2.28776</v>
      </c>
      <c r="O94" s="5">
        <v>2.766</v>
      </c>
      <c r="P94" s="5">
        <v>2.927</v>
      </c>
      <c r="Q94" s="5">
        <v>4.3129999999999997</v>
      </c>
      <c r="R94" s="5">
        <v>4.6260000000000003</v>
      </c>
      <c r="S94" s="6">
        <f t="shared" si="10"/>
        <v>7.5529999999999999</v>
      </c>
      <c r="T94" s="5">
        <f t="shared" si="11"/>
        <v>10.319000000000001</v>
      </c>
      <c r="U94" s="5">
        <v>1238.0595000000001</v>
      </c>
      <c r="V94" s="5">
        <v>36.200000000000003</v>
      </c>
      <c r="W94" s="5">
        <v>9.6</v>
      </c>
      <c r="X94" s="5">
        <f t="shared" si="8"/>
        <v>287.05297936471101</v>
      </c>
      <c r="Y94" s="7">
        <f t="shared" si="9"/>
        <v>2.7306579898770802</v>
      </c>
      <c r="Z94" s="5">
        <v>3.54</v>
      </c>
      <c r="AA94" s="5">
        <f>Q94*Z94*100/U94</f>
        <v>1.2332218281916201</v>
      </c>
      <c r="AB94" s="8">
        <f t="shared" si="12"/>
        <v>35.4</v>
      </c>
    </row>
    <row r="95" spans="1:28">
      <c r="A95" s="2" t="s">
        <v>78</v>
      </c>
      <c r="B95" s="2">
        <v>1</v>
      </c>
      <c r="C95" s="3">
        <v>290</v>
      </c>
      <c r="D95" s="2" t="s">
        <v>27</v>
      </c>
      <c r="E95" s="5" t="s">
        <v>122</v>
      </c>
      <c r="G95" s="12"/>
      <c r="I95" s="12"/>
      <c r="J95" s="12"/>
      <c r="K95" s="12"/>
      <c r="L95" s="24"/>
      <c r="O95" s="5">
        <v>3.8029999999999999</v>
      </c>
      <c r="P95" s="5">
        <v>1.9350000000000001</v>
      </c>
      <c r="Q95" s="5">
        <v>2.36</v>
      </c>
      <c r="R95" s="5">
        <v>2.4820000000000002</v>
      </c>
      <c r="S95" s="6">
        <f t="shared" si="10"/>
        <v>4.4169999999999998</v>
      </c>
      <c r="T95" s="5">
        <f t="shared" si="11"/>
        <v>8.2200000000000006</v>
      </c>
      <c r="U95" s="5">
        <v>520.14080000000001</v>
      </c>
      <c r="V95" s="5">
        <v>19.5</v>
      </c>
      <c r="W95" s="5">
        <v>9.7200000000000006</v>
      </c>
      <c r="X95" s="5">
        <f t="shared" si="8"/>
        <v>220.39864406779699</v>
      </c>
      <c r="Y95" s="7">
        <f t="shared" si="9"/>
        <v>1.16145148566921</v>
      </c>
      <c r="Z95" s="2"/>
      <c r="AA95" s="2"/>
    </row>
    <row r="96" spans="1:28">
      <c r="A96" s="2" t="s">
        <v>78</v>
      </c>
      <c r="B96" s="2">
        <v>1</v>
      </c>
      <c r="C96" s="3">
        <v>290</v>
      </c>
      <c r="D96" s="2" t="s">
        <v>27</v>
      </c>
      <c r="E96" s="5" t="s">
        <v>123</v>
      </c>
      <c r="G96" s="12"/>
      <c r="I96" s="12"/>
      <c r="J96" s="12"/>
      <c r="K96" s="12"/>
      <c r="O96" s="5">
        <v>3.0470000000000002</v>
      </c>
      <c r="P96" s="5">
        <v>1.8129999999999999</v>
      </c>
      <c r="Q96" s="5">
        <v>2.7480000000000002</v>
      </c>
      <c r="R96" s="5">
        <v>2.875</v>
      </c>
      <c r="S96" s="6">
        <f t="shared" si="10"/>
        <v>4.6879999999999997</v>
      </c>
      <c r="T96" s="5">
        <f t="shared" si="11"/>
        <v>7.7350000000000003</v>
      </c>
      <c r="U96" s="5">
        <v>670.26580000000001</v>
      </c>
      <c r="V96" s="5">
        <v>27.5</v>
      </c>
      <c r="W96" s="5">
        <v>9.84</v>
      </c>
      <c r="X96" s="5">
        <f t="shared" si="8"/>
        <v>243.910407569141</v>
      </c>
      <c r="Y96" s="7">
        <f t="shared" si="9"/>
        <v>1.5385625205119799</v>
      </c>
      <c r="Z96" s="2"/>
      <c r="AA96" s="2"/>
    </row>
    <row r="97" spans="1:37">
      <c r="A97" s="2" t="s">
        <v>78</v>
      </c>
      <c r="B97" s="2">
        <v>2</v>
      </c>
      <c r="C97" s="3">
        <v>290</v>
      </c>
      <c r="D97" s="2" t="s">
        <v>27</v>
      </c>
      <c r="E97" s="2" t="s">
        <v>124</v>
      </c>
      <c r="F97" s="11">
        <v>17.433333333333302</v>
      </c>
      <c r="G97" s="11">
        <v>17.433333333333302</v>
      </c>
      <c r="H97" s="11">
        <v>274</v>
      </c>
      <c r="I97" s="11">
        <v>364.33333333333297</v>
      </c>
      <c r="J97" s="12">
        <v>5.1866669999999999</v>
      </c>
      <c r="K97" s="12">
        <f t="shared" si="7"/>
        <v>3.3611823032659198</v>
      </c>
      <c r="L97" s="11">
        <v>98.977549999999994</v>
      </c>
      <c r="M97" s="11">
        <v>281.90750000000003</v>
      </c>
      <c r="N97" s="11">
        <v>1.4374610000000001</v>
      </c>
      <c r="O97" s="5">
        <v>2.8490000000000002</v>
      </c>
      <c r="P97" s="5">
        <v>1.181</v>
      </c>
      <c r="Q97" s="5">
        <v>2.1680000000000001</v>
      </c>
      <c r="R97" s="5">
        <v>2.3279999999999998</v>
      </c>
      <c r="S97" s="6">
        <f t="shared" si="10"/>
        <v>3.5089999999999999</v>
      </c>
      <c r="T97" s="5">
        <f t="shared" si="11"/>
        <v>6.3579999999999997</v>
      </c>
      <c r="U97" s="5">
        <v>596.54750000000001</v>
      </c>
      <c r="V97" s="5">
        <v>15.5</v>
      </c>
      <c r="W97" s="5">
        <v>8.24</v>
      </c>
      <c r="X97" s="5">
        <f t="shared" si="8"/>
        <v>275.16028597785998</v>
      </c>
      <c r="Y97" s="7">
        <f t="shared" si="9"/>
        <v>1.2316602316602301</v>
      </c>
      <c r="Z97" s="5">
        <v>3.84</v>
      </c>
      <c r="AA97" s="5">
        <f>Q97*Z97*100/U97</f>
        <v>1.39555022860711</v>
      </c>
      <c r="AB97" s="8">
        <f t="shared" si="12"/>
        <v>38.4</v>
      </c>
    </row>
    <row r="98" spans="1:37">
      <c r="A98" s="2" t="s">
        <v>78</v>
      </c>
      <c r="B98" s="2">
        <v>2</v>
      </c>
      <c r="C98" s="3">
        <v>290</v>
      </c>
      <c r="D98" s="2" t="s">
        <v>27</v>
      </c>
      <c r="E98" s="2" t="s">
        <v>125</v>
      </c>
      <c r="F98" s="11">
        <v>18.600000000000001</v>
      </c>
      <c r="G98" s="11">
        <v>18.600000000000001</v>
      </c>
      <c r="H98" s="11">
        <v>304.66666666666703</v>
      </c>
      <c r="I98" s="11">
        <v>657.66666666666697</v>
      </c>
      <c r="J98" s="12">
        <v>5.8</v>
      </c>
      <c r="K98" s="12">
        <f t="shared" si="7"/>
        <v>3.2068965517241401</v>
      </c>
      <c r="L98" s="11">
        <v>92.841070000000002</v>
      </c>
      <c r="M98" s="11">
        <v>225.51400000000001</v>
      </c>
      <c r="N98" s="11">
        <v>2.283315</v>
      </c>
      <c r="O98" s="5">
        <v>2.8889999999999998</v>
      </c>
      <c r="P98" s="5">
        <v>2.9289999999999998</v>
      </c>
      <c r="Q98" s="5">
        <v>3.9049999999999998</v>
      </c>
      <c r="R98" s="5">
        <v>4.1109999999999998</v>
      </c>
      <c r="S98" s="6">
        <f t="shared" si="10"/>
        <v>7.04</v>
      </c>
      <c r="T98" s="5">
        <f t="shared" si="11"/>
        <v>9.9290000000000003</v>
      </c>
      <c r="U98" s="5">
        <v>1204.6047000000001</v>
      </c>
      <c r="V98" s="5">
        <v>43.5</v>
      </c>
      <c r="W98" s="5">
        <v>8.4700000000000006</v>
      </c>
      <c r="X98" s="5">
        <f t="shared" si="8"/>
        <v>308.47751600512203</v>
      </c>
      <c r="Y98" s="7">
        <f t="shared" si="9"/>
        <v>2.4368293527171998</v>
      </c>
      <c r="Z98" s="5">
        <v>3.75</v>
      </c>
      <c r="AA98" s="5">
        <f>Q98*Z98*100/U98</f>
        <v>1.2156477556496299</v>
      </c>
      <c r="AB98" s="8">
        <f t="shared" si="12"/>
        <v>37.5</v>
      </c>
    </row>
    <row r="99" spans="1:37">
      <c r="A99" s="2" t="s">
        <v>78</v>
      </c>
      <c r="B99" s="2">
        <v>2</v>
      </c>
      <c r="C99" s="3">
        <v>290</v>
      </c>
      <c r="D99" s="2" t="s">
        <v>27</v>
      </c>
      <c r="E99" s="2" t="s">
        <v>126</v>
      </c>
      <c r="F99" s="11">
        <v>19.966666666666701</v>
      </c>
      <c r="G99" s="11">
        <v>19.966666666666701</v>
      </c>
      <c r="H99" s="11">
        <v>297</v>
      </c>
      <c r="I99" s="11">
        <v>623.33333333333303</v>
      </c>
      <c r="J99" s="12">
        <v>4.99</v>
      </c>
      <c r="K99" s="12">
        <f t="shared" si="7"/>
        <v>4.0013360053440197</v>
      </c>
      <c r="L99" s="11">
        <v>91.537629999999993</v>
      </c>
      <c r="M99" s="11">
        <v>329.17169999999999</v>
      </c>
      <c r="N99" s="11">
        <v>3.0963560000000001</v>
      </c>
      <c r="O99" s="5">
        <v>2.3940000000000001</v>
      </c>
      <c r="P99" s="5">
        <v>1.776</v>
      </c>
      <c r="Q99" s="5">
        <v>3.7789999999999999</v>
      </c>
      <c r="R99" s="5">
        <v>4.0190000000000001</v>
      </c>
      <c r="S99" s="6">
        <f t="shared" si="10"/>
        <v>5.7949999999999999</v>
      </c>
      <c r="T99" s="5">
        <f t="shared" si="11"/>
        <v>8.1890000000000001</v>
      </c>
      <c r="U99" s="5">
        <v>1068.5447999999999</v>
      </c>
      <c r="V99" s="5">
        <v>31.6</v>
      </c>
      <c r="W99" s="5">
        <v>9.44</v>
      </c>
      <c r="X99" s="5">
        <f t="shared" si="8"/>
        <v>282.75861338978598</v>
      </c>
      <c r="Y99" s="7">
        <f t="shared" si="9"/>
        <v>2.42063492063492</v>
      </c>
      <c r="Z99" s="5">
        <v>3.12</v>
      </c>
      <c r="AA99" s="5">
        <f>Q99*Z99*100/U99</f>
        <v>1.1034146626327701</v>
      </c>
      <c r="AB99" s="8">
        <f t="shared" si="12"/>
        <v>31.2</v>
      </c>
    </row>
    <row r="100" spans="1:37">
      <c r="A100" s="2" t="s">
        <v>78</v>
      </c>
      <c r="B100" s="2">
        <v>2</v>
      </c>
      <c r="C100" s="3">
        <v>290</v>
      </c>
      <c r="D100" s="2" t="s">
        <v>27</v>
      </c>
      <c r="E100" s="5" t="s">
        <v>127</v>
      </c>
      <c r="G100" s="12"/>
      <c r="I100" s="12"/>
      <c r="J100" s="12"/>
      <c r="K100" s="12"/>
      <c r="L100" s="11"/>
      <c r="O100" s="5">
        <v>3.2029999999999998</v>
      </c>
      <c r="P100" s="5">
        <v>1.3140000000000001</v>
      </c>
      <c r="Q100" s="5">
        <v>2.8090000000000002</v>
      </c>
      <c r="R100" s="5">
        <v>3.0129999999999999</v>
      </c>
      <c r="S100" s="6">
        <f t="shared" si="10"/>
        <v>4.327</v>
      </c>
      <c r="T100" s="5">
        <f t="shared" si="11"/>
        <v>7.53</v>
      </c>
      <c r="U100" s="5">
        <v>695.86839999999995</v>
      </c>
      <c r="V100" s="5">
        <v>16.2</v>
      </c>
      <c r="W100" s="5">
        <v>9.49</v>
      </c>
      <c r="X100" s="5">
        <f t="shared" si="8"/>
        <v>247.72815948736201</v>
      </c>
      <c r="Y100" s="7">
        <f t="shared" si="9"/>
        <v>1.3509210115516701</v>
      </c>
    </row>
    <row r="101" spans="1:37">
      <c r="A101" s="2" t="s">
        <v>78</v>
      </c>
      <c r="B101" s="2">
        <v>2</v>
      </c>
      <c r="C101" s="3">
        <v>290</v>
      </c>
      <c r="D101" s="2" t="s">
        <v>27</v>
      </c>
      <c r="E101" s="5" t="s">
        <v>128</v>
      </c>
      <c r="G101" s="12"/>
      <c r="I101" s="12"/>
      <c r="J101" s="12"/>
      <c r="K101" s="12"/>
      <c r="O101" s="5">
        <v>3.1970000000000001</v>
      </c>
      <c r="P101" s="5">
        <v>0.99299999999999999</v>
      </c>
      <c r="Q101" s="5">
        <v>2.4929999999999999</v>
      </c>
      <c r="R101" s="5">
        <v>2.7130000000000001</v>
      </c>
      <c r="S101" s="6">
        <f t="shared" si="10"/>
        <v>3.706</v>
      </c>
      <c r="T101" s="5">
        <f t="shared" si="11"/>
        <v>6.9029999999999996</v>
      </c>
      <c r="U101" s="5">
        <v>641.48260000000005</v>
      </c>
      <c r="V101" s="5">
        <v>11.4</v>
      </c>
      <c r="W101" s="5">
        <v>8.6199999999999992</v>
      </c>
      <c r="X101" s="5">
        <f t="shared" si="8"/>
        <v>257.31351784997997</v>
      </c>
      <c r="Y101" s="7">
        <f t="shared" si="9"/>
        <v>1.15921176102596</v>
      </c>
    </row>
    <row r="102" spans="1:37">
      <c r="A102" s="2" t="s">
        <v>26</v>
      </c>
      <c r="B102" s="2">
        <v>1</v>
      </c>
      <c r="C102" s="3">
        <v>10</v>
      </c>
      <c r="D102" s="2" t="s">
        <v>129</v>
      </c>
      <c r="E102" s="2" t="s">
        <v>130</v>
      </c>
      <c r="F102" s="12">
        <v>8.266667</v>
      </c>
      <c r="G102" s="12">
        <v>13.83333</v>
      </c>
      <c r="H102" s="12">
        <v>582.33330000000001</v>
      </c>
      <c r="I102" s="12">
        <v>177.66669999999999</v>
      </c>
      <c r="J102" s="12">
        <v>3.4333330000000002</v>
      </c>
      <c r="K102" s="12">
        <f t="shared" si="7"/>
        <v>4.0291256338956902</v>
      </c>
      <c r="L102" s="11">
        <v>44.207329999999999</v>
      </c>
      <c r="M102" s="11">
        <v>100.8193</v>
      </c>
      <c r="N102" s="11">
        <v>2.2468750000000002</v>
      </c>
      <c r="O102" s="5">
        <v>1.137</v>
      </c>
      <c r="P102" s="5">
        <v>0.20200000000000001</v>
      </c>
      <c r="Q102" s="5">
        <v>0.64200000000000002</v>
      </c>
      <c r="R102" s="5">
        <v>0.64700000000000002</v>
      </c>
      <c r="S102" s="6">
        <f t="shared" si="10"/>
        <v>0.84899999999999998</v>
      </c>
      <c r="T102" s="5">
        <f t="shared" si="11"/>
        <v>1.986</v>
      </c>
      <c r="U102" s="5">
        <v>128.20959999999999</v>
      </c>
      <c r="V102" s="5">
        <v>6.1</v>
      </c>
      <c r="W102" s="5">
        <v>3.64</v>
      </c>
      <c r="X102" s="5">
        <f t="shared" si="8"/>
        <v>199.703426791277</v>
      </c>
      <c r="Y102" s="7">
        <f t="shared" si="9"/>
        <v>0.74670184696569897</v>
      </c>
      <c r="Z102" s="5">
        <v>1.38</v>
      </c>
      <c r="AA102" s="5">
        <f>Q102*Z102*100/U102</f>
        <v>0.69102469705856695</v>
      </c>
      <c r="AB102" s="8">
        <f t="shared" si="12"/>
        <v>13.8</v>
      </c>
      <c r="AJ102" s="5"/>
      <c r="AK102" s="5"/>
    </row>
    <row r="103" spans="1:37">
      <c r="A103" s="2" t="s">
        <v>26</v>
      </c>
      <c r="B103" s="2">
        <v>1</v>
      </c>
      <c r="C103" s="3">
        <v>10</v>
      </c>
      <c r="D103" s="2" t="s">
        <v>129</v>
      </c>
      <c r="E103" s="2" t="s">
        <v>131</v>
      </c>
      <c r="F103" s="11">
        <v>8.2666666666666693</v>
      </c>
      <c r="G103" s="11">
        <v>13.633333333333301</v>
      </c>
      <c r="H103" s="11">
        <v>641.33333333333303</v>
      </c>
      <c r="I103" s="11">
        <v>397.66666666666703</v>
      </c>
      <c r="J103" s="12">
        <v>5.1433330000000002</v>
      </c>
      <c r="K103" s="12">
        <f t="shared" si="7"/>
        <v>2.6506806643344598</v>
      </c>
      <c r="L103" s="11">
        <v>44.918050000000001</v>
      </c>
      <c r="M103" s="11">
        <v>87.140940000000001</v>
      </c>
      <c r="N103" s="11">
        <v>1.3126409999999999</v>
      </c>
      <c r="O103" s="5">
        <v>1.454</v>
      </c>
      <c r="P103" s="5">
        <v>0.48199999999999998</v>
      </c>
      <c r="Q103" s="5">
        <v>1.258</v>
      </c>
      <c r="R103" s="5">
        <v>1.2769999999999999</v>
      </c>
      <c r="S103" s="6">
        <f t="shared" si="10"/>
        <v>1.7589999999999999</v>
      </c>
      <c r="T103" s="5">
        <f t="shared" si="11"/>
        <v>3.2130000000000001</v>
      </c>
      <c r="U103" s="5">
        <v>254.9186</v>
      </c>
      <c r="V103" s="5">
        <v>12.8</v>
      </c>
      <c r="W103" s="5">
        <v>4.63</v>
      </c>
      <c r="X103" s="5">
        <f t="shared" si="8"/>
        <v>202.63799682035</v>
      </c>
      <c r="Y103" s="7">
        <f t="shared" si="9"/>
        <v>1.20976616231087</v>
      </c>
      <c r="Z103" s="5">
        <v>0.96</v>
      </c>
      <c r="AA103" s="5">
        <v>0.47375122882363202</v>
      </c>
      <c r="AB103" s="8">
        <f t="shared" si="12"/>
        <v>9.6</v>
      </c>
      <c r="AJ103" s="5"/>
      <c r="AK103" s="5"/>
    </row>
    <row r="104" spans="1:37">
      <c r="A104" s="2" t="s">
        <v>26</v>
      </c>
      <c r="B104" s="2">
        <v>1</v>
      </c>
      <c r="C104" s="3">
        <v>10</v>
      </c>
      <c r="D104" s="2" t="s">
        <v>129</v>
      </c>
      <c r="E104" s="2" t="s">
        <v>132</v>
      </c>
      <c r="F104" s="12">
        <v>11.133330000000001</v>
      </c>
      <c r="G104" s="12">
        <v>17.366669999999999</v>
      </c>
      <c r="H104" s="12">
        <v>628.66669999999999</v>
      </c>
      <c r="I104" s="12">
        <v>413.66669999999999</v>
      </c>
      <c r="J104" s="12">
        <v>6.2233330000000002</v>
      </c>
      <c r="K104" s="12">
        <f t="shared" si="7"/>
        <v>2.7905737970312701</v>
      </c>
      <c r="L104" s="11">
        <v>57.386090000000003</v>
      </c>
      <c r="M104" s="11">
        <v>115.19029999999999</v>
      </c>
      <c r="N104" s="11">
        <v>1.774216</v>
      </c>
      <c r="O104" s="5">
        <v>1.054</v>
      </c>
      <c r="P104" s="5">
        <v>0.154</v>
      </c>
      <c r="Q104" s="5">
        <v>0.45300000000000001</v>
      </c>
      <c r="R104" s="5">
        <v>0.45900000000000002</v>
      </c>
      <c r="S104" s="6">
        <f t="shared" si="10"/>
        <v>0.61299999999999999</v>
      </c>
      <c r="T104" s="5">
        <f t="shared" si="11"/>
        <v>1.667</v>
      </c>
      <c r="U104" s="5">
        <v>96.020200000000003</v>
      </c>
      <c r="V104" s="5">
        <v>4.4000000000000004</v>
      </c>
      <c r="W104" s="5">
        <v>3.79</v>
      </c>
      <c r="X104" s="5">
        <f t="shared" si="8"/>
        <v>211.965121412804</v>
      </c>
      <c r="Y104" s="7">
        <f t="shared" si="9"/>
        <v>0.58159392789373798</v>
      </c>
      <c r="Z104" s="5">
        <v>1.45</v>
      </c>
      <c r="AA104" s="5">
        <v>0.68407480925888497</v>
      </c>
      <c r="AB104" s="8">
        <f t="shared" si="12"/>
        <v>14.5</v>
      </c>
    </row>
    <row r="105" spans="1:37">
      <c r="A105" s="2" t="s">
        <v>26</v>
      </c>
      <c r="B105" s="2">
        <v>1</v>
      </c>
      <c r="C105" s="3">
        <v>10</v>
      </c>
      <c r="D105" s="2" t="s">
        <v>129</v>
      </c>
      <c r="E105" s="5" t="s">
        <v>133</v>
      </c>
      <c r="G105" s="12"/>
      <c r="I105" s="12"/>
      <c r="J105" s="12"/>
      <c r="K105" s="12"/>
      <c r="L105" s="11"/>
      <c r="M105" s="15"/>
      <c r="N105" s="15"/>
      <c r="O105" s="5">
        <v>0.751</v>
      </c>
      <c r="P105" s="5">
        <v>0.216</v>
      </c>
      <c r="Q105" s="5">
        <v>0.438</v>
      </c>
      <c r="R105" s="5">
        <v>0.443</v>
      </c>
      <c r="S105" s="6">
        <f t="shared" si="10"/>
        <v>0.65900000000000003</v>
      </c>
      <c r="T105" s="5">
        <f t="shared" si="11"/>
        <v>1.41</v>
      </c>
      <c r="U105" s="5">
        <v>103.5642</v>
      </c>
      <c r="V105" s="5">
        <v>13.6</v>
      </c>
      <c r="W105" s="5">
        <v>3.18</v>
      </c>
      <c r="X105" s="5">
        <f t="shared" si="8"/>
        <v>236.44794520547899</v>
      </c>
      <c r="Y105" s="7">
        <f t="shared" si="9"/>
        <v>0.87749667110519303</v>
      </c>
    </row>
    <row r="106" spans="1:37">
      <c r="A106" s="2" t="s">
        <v>26</v>
      </c>
      <c r="B106" s="2">
        <v>1</v>
      </c>
      <c r="C106" s="3">
        <v>10</v>
      </c>
      <c r="D106" s="2" t="s">
        <v>129</v>
      </c>
      <c r="E106" s="5" t="s">
        <v>134</v>
      </c>
      <c r="G106" s="12"/>
      <c r="I106" s="12"/>
      <c r="J106" s="12"/>
      <c r="K106" s="12"/>
      <c r="L106" s="11"/>
      <c r="O106" s="5">
        <v>0.81499999999999995</v>
      </c>
      <c r="P106" s="5">
        <v>0.17399999999999999</v>
      </c>
      <c r="Q106" s="5">
        <v>0.54900000000000004</v>
      </c>
      <c r="R106" s="5">
        <v>0.55300000000000005</v>
      </c>
      <c r="S106" s="6">
        <f t="shared" si="10"/>
        <v>0.72699999999999998</v>
      </c>
      <c r="T106" s="5">
        <f t="shared" si="11"/>
        <v>1.542</v>
      </c>
      <c r="U106" s="5">
        <v>104.11150000000001</v>
      </c>
      <c r="V106" s="5">
        <v>10.5</v>
      </c>
      <c r="W106" s="5">
        <v>2.83</v>
      </c>
      <c r="X106" s="5">
        <f t="shared" si="8"/>
        <v>189.638433515483</v>
      </c>
      <c r="Y106" s="7">
        <f t="shared" si="9"/>
        <v>0.89202453987730101</v>
      </c>
    </row>
    <row r="107" spans="1:37">
      <c r="A107" s="2" t="s">
        <v>26</v>
      </c>
      <c r="B107" s="2">
        <v>2</v>
      </c>
      <c r="C107" s="3">
        <v>10</v>
      </c>
      <c r="D107" s="2" t="s">
        <v>129</v>
      </c>
      <c r="E107" s="2" t="s">
        <v>135</v>
      </c>
      <c r="F107" s="12">
        <v>15.2</v>
      </c>
      <c r="G107" s="12">
        <v>21.133330000000001</v>
      </c>
      <c r="H107" s="12">
        <v>645</v>
      </c>
      <c r="I107" s="12">
        <v>691</v>
      </c>
      <c r="J107" s="12">
        <v>5.7966670000000002</v>
      </c>
      <c r="K107" s="12">
        <f t="shared" si="7"/>
        <v>3.6457726483166999</v>
      </c>
      <c r="L107" s="11">
        <v>63.014310399999999</v>
      </c>
      <c r="M107" s="11">
        <v>131.50993099999999</v>
      </c>
      <c r="N107" s="11">
        <v>1.48773</v>
      </c>
      <c r="O107" s="5">
        <v>0.58899999999999997</v>
      </c>
      <c r="P107" s="5">
        <v>0.14699999999999999</v>
      </c>
      <c r="Q107" s="5">
        <v>0.42199999999999999</v>
      </c>
      <c r="R107" s="5">
        <v>0.433</v>
      </c>
      <c r="S107" s="6">
        <f t="shared" si="10"/>
        <v>0.57999999999999996</v>
      </c>
      <c r="T107" s="5">
        <f t="shared" si="11"/>
        <v>1.169</v>
      </c>
      <c r="U107" s="5">
        <v>91.870999999999995</v>
      </c>
      <c r="V107" s="5">
        <v>2.8</v>
      </c>
      <c r="W107" s="5">
        <v>2.2999999999999998</v>
      </c>
      <c r="X107" s="5">
        <f t="shared" si="8"/>
        <v>217.70379146919399</v>
      </c>
      <c r="Y107" s="7">
        <f t="shared" si="9"/>
        <v>0.98471986417657098</v>
      </c>
      <c r="Z107" s="5">
        <v>1.74</v>
      </c>
      <c r="AA107" s="5">
        <v>0.79925112385845398</v>
      </c>
      <c r="AB107" s="8">
        <f t="shared" si="12"/>
        <v>17.399999999999999</v>
      </c>
    </row>
    <row r="108" spans="1:37">
      <c r="A108" s="2" t="s">
        <v>26</v>
      </c>
      <c r="B108" s="2">
        <v>2</v>
      </c>
      <c r="C108" s="3">
        <v>10</v>
      </c>
      <c r="D108" s="2" t="s">
        <v>129</v>
      </c>
      <c r="E108" s="2" t="s">
        <v>136</v>
      </c>
      <c r="F108" s="12">
        <v>7.4666670000000002</v>
      </c>
      <c r="G108" s="12">
        <v>12.43333</v>
      </c>
      <c r="H108" s="12">
        <v>610.66669999999999</v>
      </c>
      <c r="I108" s="12">
        <v>201.33330000000001</v>
      </c>
      <c r="J108" s="12">
        <v>3.9333330000000002</v>
      </c>
      <c r="K108" s="12">
        <f t="shared" si="7"/>
        <v>3.1610163695776601</v>
      </c>
      <c r="L108" s="11">
        <v>40.737813000000003</v>
      </c>
      <c r="M108" s="11">
        <v>86.994883000000002</v>
      </c>
      <c r="N108" s="11">
        <v>1.663824</v>
      </c>
      <c r="O108" s="5">
        <v>0.78600000000000003</v>
      </c>
      <c r="P108" s="5">
        <v>0.247</v>
      </c>
      <c r="Q108" s="5">
        <v>0.44600000000000001</v>
      </c>
      <c r="R108" s="5">
        <v>0.45700000000000002</v>
      </c>
      <c r="S108" s="6">
        <f t="shared" si="10"/>
        <v>0.70399999999999996</v>
      </c>
      <c r="T108" s="5">
        <f t="shared" si="11"/>
        <v>1.49</v>
      </c>
      <c r="U108" s="5">
        <v>94.099400000000003</v>
      </c>
      <c r="V108" s="5">
        <v>5.3</v>
      </c>
      <c r="W108" s="5">
        <v>2.31</v>
      </c>
      <c r="X108" s="5">
        <f t="shared" si="8"/>
        <v>210.98520179372201</v>
      </c>
      <c r="Y108" s="7">
        <f t="shared" si="9"/>
        <v>0.89567430025445305</v>
      </c>
      <c r="Z108" s="5">
        <v>1.26</v>
      </c>
      <c r="AA108" s="5">
        <v>0.59719828181688706</v>
      </c>
      <c r="AB108" s="8">
        <f t="shared" si="12"/>
        <v>12.6</v>
      </c>
    </row>
    <row r="109" spans="1:37">
      <c r="A109" s="2" t="s">
        <v>26</v>
      </c>
      <c r="B109" s="2">
        <v>2</v>
      </c>
      <c r="C109" s="3">
        <v>10</v>
      </c>
      <c r="D109" s="2" t="s">
        <v>129</v>
      </c>
      <c r="E109" s="2" t="s">
        <v>137</v>
      </c>
      <c r="F109" s="11">
        <v>9.5</v>
      </c>
      <c r="G109" s="11">
        <v>15.366666666666699</v>
      </c>
      <c r="H109" s="11">
        <v>614.66666666666697</v>
      </c>
      <c r="I109" s="11">
        <v>319</v>
      </c>
      <c r="J109" s="12">
        <v>4.4266670000000001</v>
      </c>
      <c r="K109" s="12">
        <f t="shared" si="7"/>
        <v>3.4713852807691801</v>
      </c>
      <c r="L109" s="11">
        <v>48.553175000000003</v>
      </c>
      <c r="M109" s="11">
        <v>107.693005</v>
      </c>
      <c r="N109" s="11">
        <v>1.582813</v>
      </c>
      <c r="O109" s="5">
        <v>0.95099999999999996</v>
      </c>
      <c r="P109" s="5">
        <v>0.16700000000000001</v>
      </c>
      <c r="Q109" s="5">
        <v>0.67300000000000004</v>
      </c>
      <c r="R109" s="5">
        <v>0.68</v>
      </c>
      <c r="S109" s="6">
        <f t="shared" si="10"/>
        <v>0.84699999999999998</v>
      </c>
      <c r="T109" s="5">
        <f t="shared" si="11"/>
        <v>1.798</v>
      </c>
      <c r="U109" s="5">
        <v>126.0853</v>
      </c>
      <c r="V109" s="5">
        <v>11</v>
      </c>
      <c r="W109" s="5">
        <v>3.44</v>
      </c>
      <c r="X109" s="5">
        <f t="shared" si="8"/>
        <v>187.348142644874</v>
      </c>
      <c r="Y109" s="7">
        <f t="shared" si="9"/>
        <v>0.89064143007360697</v>
      </c>
      <c r="Z109" s="5">
        <v>1.24</v>
      </c>
      <c r="AA109" s="5">
        <f>Q109*Z109*100/U109</f>
        <v>0.66186938524951</v>
      </c>
      <c r="AB109" s="8">
        <f t="shared" si="12"/>
        <v>12.4</v>
      </c>
      <c r="AJ109" s="5"/>
      <c r="AK109" s="5"/>
    </row>
    <row r="110" spans="1:37">
      <c r="A110" s="2" t="s">
        <v>26</v>
      </c>
      <c r="B110" s="2">
        <v>2</v>
      </c>
      <c r="C110" s="3">
        <v>10</v>
      </c>
      <c r="D110" s="2" t="s">
        <v>129</v>
      </c>
      <c r="E110" s="5" t="s">
        <v>138</v>
      </c>
      <c r="G110" s="12"/>
      <c r="I110" s="12"/>
      <c r="J110" s="12"/>
      <c r="K110" s="12"/>
      <c r="L110" s="11"/>
      <c r="O110" s="5">
        <v>0.82499999999999996</v>
      </c>
      <c r="P110" s="5">
        <v>0.252</v>
      </c>
      <c r="Q110" s="5">
        <v>0.57699999999999996</v>
      </c>
      <c r="R110" s="5">
        <v>0.57999999999999996</v>
      </c>
      <c r="S110" s="6">
        <f t="shared" si="10"/>
        <v>0.83199999999999996</v>
      </c>
      <c r="T110" s="5">
        <f t="shared" si="11"/>
        <v>1.657</v>
      </c>
      <c r="U110" s="5">
        <v>114.551</v>
      </c>
      <c r="V110" s="5">
        <v>6.9</v>
      </c>
      <c r="W110" s="5">
        <v>3.11</v>
      </c>
      <c r="X110" s="5">
        <f t="shared" si="8"/>
        <v>198.528596187175</v>
      </c>
      <c r="Y110" s="7">
        <f t="shared" si="9"/>
        <v>1.0084848484848501</v>
      </c>
      <c r="AJ110" s="5"/>
      <c r="AK110" s="5"/>
    </row>
    <row r="111" spans="1:37">
      <c r="A111" s="2" t="s">
        <v>26</v>
      </c>
      <c r="B111" s="2">
        <v>2</v>
      </c>
      <c r="C111" s="3">
        <v>10</v>
      </c>
      <c r="D111" s="2" t="s">
        <v>129</v>
      </c>
      <c r="E111" s="5" t="s">
        <v>139</v>
      </c>
      <c r="G111" s="12"/>
      <c r="I111" s="12"/>
      <c r="J111" s="12"/>
      <c r="K111" s="12"/>
      <c r="L111" s="11"/>
      <c r="O111" s="5">
        <v>0.81200000000000006</v>
      </c>
      <c r="P111" s="5">
        <v>8.7999999999999995E-2</v>
      </c>
      <c r="Q111" s="5">
        <v>0.78400000000000003</v>
      </c>
      <c r="R111" s="5">
        <v>0.79300000000000004</v>
      </c>
      <c r="S111" s="6">
        <f t="shared" si="10"/>
        <v>0.88100000000000001</v>
      </c>
      <c r="T111" s="5">
        <f t="shared" si="11"/>
        <v>1.6930000000000001</v>
      </c>
      <c r="U111" s="5">
        <v>142.23429999999999</v>
      </c>
      <c r="V111" s="5">
        <v>14.6</v>
      </c>
      <c r="W111" s="5">
        <v>2.63</v>
      </c>
      <c r="X111" s="5">
        <f t="shared" si="8"/>
        <v>181.42130102040801</v>
      </c>
      <c r="Y111" s="7">
        <f t="shared" si="9"/>
        <v>1.0849753694581299</v>
      </c>
      <c r="AJ111" s="5"/>
      <c r="AK111" s="5"/>
    </row>
    <row r="112" spans="1:37">
      <c r="A112" s="2" t="s">
        <v>26</v>
      </c>
      <c r="B112" s="2">
        <v>1</v>
      </c>
      <c r="C112" s="3">
        <v>80</v>
      </c>
      <c r="D112" s="2" t="s">
        <v>129</v>
      </c>
      <c r="E112" s="2" t="s">
        <v>140</v>
      </c>
      <c r="F112" s="11">
        <v>16.100000000000001</v>
      </c>
      <c r="G112" s="11">
        <v>24.8333333333333</v>
      </c>
      <c r="H112" s="11">
        <v>602</v>
      </c>
      <c r="I112" s="11">
        <v>496.33333333333297</v>
      </c>
      <c r="J112" s="12">
        <v>5.4233330000000004</v>
      </c>
      <c r="K112" s="12">
        <f t="shared" si="7"/>
        <v>4.5789799987080499</v>
      </c>
      <c r="L112" s="11">
        <v>88.814509999999999</v>
      </c>
      <c r="M112" s="11">
        <v>167.3432</v>
      </c>
      <c r="N112" s="11">
        <v>1.010589</v>
      </c>
      <c r="O112" s="5">
        <v>1.8280000000000001</v>
      </c>
      <c r="P112" s="5">
        <v>0.60099999999999998</v>
      </c>
      <c r="Q112" s="5">
        <v>1.27</v>
      </c>
      <c r="R112" s="5">
        <v>1.2909999999999999</v>
      </c>
      <c r="S112" s="6">
        <f t="shared" si="10"/>
        <v>1.8919999999999999</v>
      </c>
      <c r="T112" s="5">
        <f t="shared" si="11"/>
        <v>3.72</v>
      </c>
      <c r="U112" s="5">
        <v>278.57380000000001</v>
      </c>
      <c r="V112" s="5">
        <v>19.5</v>
      </c>
      <c r="W112" s="5">
        <v>3.69</v>
      </c>
      <c r="X112" s="5">
        <f t="shared" si="8"/>
        <v>219.349448818898</v>
      </c>
      <c r="Y112" s="7">
        <f t="shared" si="9"/>
        <v>1.03501094091904</v>
      </c>
      <c r="Z112" s="5">
        <v>1.84</v>
      </c>
      <c r="AA112" s="5">
        <v>0.83884414112167005</v>
      </c>
      <c r="AB112" s="8">
        <f t="shared" si="12"/>
        <v>18.399999999999999</v>
      </c>
      <c r="AJ112" s="5"/>
      <c r="AK112" s="5"/>
    </row>
    <row r="113" spans="1:37">
      <c r="A113" s="2" t="s">
        <v>26</v>
      </c>
      <c r="B113" s="2">
        <v>1</v>
      </c>
      <c r="C113" s="3">
        <v>80</v>
      </c>
      <c r="D113" s="2" t="s">
        <v>129</v>
      </c>
      <c r="E113" s="2" t="s">
        <v>141</v>
      </c>
      <c r="F113" s="11">
        <v>18.966666666666701</v>
      </c>
      <c r="G113" s="11">
        <v>28.6</v>
      </c>
      <c r="H113" s="11">
        <v>613.66666666666697</v>
      </c>
      <c r="I113" s="11">
        <v>764</v>
      </c>
      <c r="J113" s="12">
        <v>5.3366670000000003</v>
      </c>
      <c r="K113" s="12">
        <f t="shared" si="7"/>
        <v>5.3591501961804999</v>
      </c>
      <c r="L113" s="11">
        <v>91.330600000000004</v>
      </c>
      <c r="M113" s="11">
        <v>223.06290000000001</v>
      </c>
      <c r="N113" s="11">
        <v>1.3035030000000001</v>
      </c>
      <c r="O113" s="5">
        <v>1.857</v>
      </c>
      <c r="P113" s="5">
        <v>0.70199999999999996</v>
      </c>
      <c r="Q113" s="5">
        <v>1.419</v>
      </c>
      <c r="R113" s="5">
        <v>1.4510000000000001</v>
      </c>
      <c r="S113" s="6">
        <f t="shared" si="10"/>
        <v>2.153</v>
      </c>
      <c r="T113" s="5">
        <f t="shared" si="11"/>
        <v>4.01</v>
      </c>
      <c r="U113" s="5">
        <v>350.30189999999999</v>
      </c>
      <c r="V113" s="5">
        <v>13.4</v>
      </c>
      <c r="W113" s="5">
        <v>5.38</v>
      </c>
      <c r="X113" s="5">
        <f t="shared" si="8"/>
        <v>246.86532769556001</v>
      </c>
      <c r="Y113" s="7">
        <f t="shared" si="9"/>
        <v>1.15939687668282</v>
      </c>
      <c r="Z113" s="5">
        <v>2.61</v>
      </c>
      <c r="AA113" s="5">
        <v>1.0572566120823199</v>
      </c>
      <c r="AB113" s="8">
        <f t="shared" si="12"/>
        <v>26.1</v>
      </c>
    </row>
    <row r="114" spans="1:37">
      <c r="A114" s="2" t="s">
        <v>26</v>
      </c>
      <c r="B114" s="2">
        <v>1</v>
      </c>
      <c r="C114" s="3">
        <v>80</v>
      </c>
      <c r="D114" s="2" t="s">
        <v>129</v>
      </c>
      <c r="E114" s="2" t="s">
        <v>142</v>
      </c>
      <c r="F114" s="11">
        <v>13.5</v>
      </c>
      <c r="G114" s="11">
        <v>20.566666666666698</v>
      </c>
      <c r="H114" s="11">
        <v>629</v>
      </c>
      <c r="I114" s="11">
        <v>533</v>
      </c>
      <c r="J114" s="12">
        <v>5.8566669999999998</v>
      </c>
      <c r="K114" s="12">
        <f t="shared" si="7"/>
        <v>3.5116674153860301</v>
      </c>
      <c r="L114" s="11">
        <v>81.503709999999998</v>
      </c>
      <c r="M114" s="11">
        <v>132.3141</v>
      </c>
      <c r="N114" s="11">
        <v>1.4010860000000001</v>
      </c>
      <c r="O114" s="5">
        <v>1.4910000000000001</v>
      </c>
      <c r="P114" s="5">
        <v>0.45200000000000001</v>
      </c>
      <c r="Q114" s="5">
        <v>0.89700000000000002</v>
      </c>
      <c r="R114" s="5">
        <v>0.91300000000000003</v>
      </c>
      <c r="S114" s="6">
        <f t="shared" si="10"/>
        <v>1.365</v>
      </c>
      <c r="T114" s="5">
        <f t="shared" si="11"/>
        <v>2.8559999999999999</v>
      </c>
      <c r="U114" s="5">
        <v>182.89500000000001</v>
      </c>
      <c r="V114" s="5">
        <v>14</v>
      </c>
      <c r="W114" s="5">
        <v>3.42</v>
      </c>
      <c r="X114" s="5">
        <f t="shared" si="8"/>
        <v>203.89632107023399</v>
      </c>
      <c r="Y114" s="7">
        <f t="shared" si="9"/>
        <v>0.91549295774647899</v>
      </c>
      <c r="Z114" s="5">
        <v>2.0699999999999998</v>
      </c>
      <c r="AA114" s="5">
        <v>1.01522184860166</v>
      </c>
      <c r="AB114" s="8">
        <f t="shared" si="12"/>
        <v>20.7</v>
      </c>
    </row>
    <row r="115" spans="1:37">
      <c r="A115" s="2" t="s">
        <v>26</v>
      </c>
      <c r="B115" s="2">
        <v>1</v>
      </c>
      <c r="C115" s="3">
        <v>80</v>
      </c>
      <c r="D115" s="2" t="s">
        <v>129</v>
      </c>
      <c r="E115" s="5" t="s">
        <v>143</v>
      </c>
      <c r="G115" s="12"/>
      <c r="I115" s="12"/>
      <c r="J115" s="12"/>
      <c r="K115" s="12"/>
      <c r="L115" s="11"/>
      <c r="O115" s="5">
        <v>1.2769999999999999</v>
      </c>
      <c r="P115" s="5">
        <v>0.27100000000000002</v>
      </c>
      <c r="Q115" s="5">
        <v>0.61699999999999999</v>
      </c>
      <c r="R115" s="5">
        <v>0.63</v>
      </c>
      <c r="S115" s="6">
        <f t="shared" si="10"/>
        <v>0.90100000000000002</v>
      </c>
      <c r="T115" s="5">
        <f t="shared" si="11"/>
        <v>2.1779999999999999</v>
      </c>
      <c r="U115" s="5">
        <v>140.9735</v>
      </c>
      <c r="V115" s="5">
        <v>8.3000000000000007</v>
      </c>
      <c r="W115" s="5">
        <v>3.48</v>
      </c>
      <c r="X115" s="5">
        <f t="shared" si="8"/>
        <v>228.48217179902801</v>
      </c>
      <c r="Y115" s="7">
        <f t="shared" si="9"/>
        <v>0.70555990602975704</v>
      </c>
    </row>
    <row r="116" spans="1:37">
      <c r="A116" s="2" t="s">
        <v>26</v>
      </c>
      <c r="B116" s="2">
        <v>1</v>
      </c>
      <c r="C116" s="3">
        <v>80</v>
      </c>
      <c r="D116" s="2" t="s">
        <v>129</v>
      </c>
      <c r="E116" s="5" t="s">
        <v>144</v>
      </c>
      <c r="G116" s="12"/>
      <c r="I116" s="12"/>
      <c r="J116" s="12"/>
      <c r="K116" s="12"/>
      <c r="L116" s="11"/>
      <c r="O116" s="5">
        <v>1.5189999999999999</v>
      </c>
      <c r="P116" s="5">
        <v>0.39300000000000002</v>
      </c>
      <c r="Q116" s="5">
        <v>0.96</v>
      </c>
      <c r="R116" s="5">
        <v>0.97699999999999998</v>
      </c>
      <c r="S116" s="6">
        <f t="shared" si="10"/>
        <v>1.37</v>
      </c>
      <c r="T116" s="5">
        <f t="shared" si="11"/>
        <v>2.8889999999999998</v>
      </c>
      <c r="U116" s="5">
        <v>207.55670000000001</v>
      </c>
      <c r="V116" s="5">
        <v>12.5</v>
      </c>
      <c r="W116" s="5">
        <v>3.75</v>
      </c>
      <c r="X116" s="5">
        <f t="shared" si="8"/>
        <v>216.20489583333301</v>
      </c>
      <c r="Y116" s="7">
        <f t="shared" si="9"/>
        <v>0.901909150757077</v>
      </c>
    </row>
    <row r="117" spans="1:37">
      <c r="A117" s="2" t="s">
        <v>26</v>
      </c>
      <c r="B117" s="2">
        <v>2</v>
      </c>
      <c r="C117" s="3">
        <v>80</v>
      </c>
      <c r="D117" s="2" t="s">
        <v>129</v>
      </c>
      <c r="E117" s="2" t="s">
        <v>145</v>
      </c>
      <c r="F117" s="11">
        <v>14.0666666666667</v>
      </c>
      <c r="G117" s="11">
        <v>23.1666666666667</v>
      </c>
      <c r="H117" s="11">
        <v>626.66666666666697</v>
      </c>
      <c r="I117" s="11">
        <v>665.66666666666697</v>
      </c>
      <c r="J117" s="12">
        <v>6.6266670000000003</v>
      </c>
      <c r="K117" s="12">
        <f t="shared" si="7"/>
        <v>3.4959756792768801</v>
      </c>
      <c r="L117" s="11">
        <v>78.873683999999997</v>
      </c>
      <c r="M117" s="11">
        <v>167.329308</v>
      </c>
      <c r="N117" s="11">
        <v>1.1828510000000001</v>
      </c>
      <c r="O117" s="5">
        <v>1.4510000000000001</v>
      </c>
      <c r="P117" s="5">
        <v>0.56699999999999995</v>
      </c>
      <c r="Q117" s="5">
        <v>1.373</v>
      </c>
      <c r="R117" s="5">
        <v>1.399</v>
      </c>
      <c r="S117" s="6">
        <f t="shared" si="10"/>
        <v>1.966</v>
      </c>
      <c r="T117" s="5">
        <f t="shared" si="11"/>
        <v>3.4169999999999998</v>
      </c>
      <c r="U117" s="5">
        <v>313.28930000000003</v>
      </c>
      <c r="V117" s="5">
        <v>24.2</v>
      </c>
      <c r="W117" s="5">
        <v>3.35</v>
      </c>
      <c r="X117" s="5">
        <f t="shared" si="8"/>
        <v>228.17865986890001</v>
      </c>
      <c r="Y117" s="7">
        <f t="shared" si="9"/>
        <v>1.35492763611303</v>
      </c>
      <c r="Z117" s="5">
        <v>2</v>
      </c>
      <c r="AA117" s="5">
        <v>0.87650615581189695</v>
      </c>
      <c r="AB117" s="8">
        <f t="shared" si="12"/>
        <v>20</v>
      </c>
    </row>
    <row r="118" spans="1:37">
      <c r="A118" s="2" t="s">
        <v>26</v>
      </c>
      <c r="B118" s="2">
        <v>2</v>
      </c>
      <c r="C118" s="3">
        <v>80</v>
      </c>
      <c r="D118" s="2" t="s">
        <v>129</v>
      </c>
      <c r="E118" s="2" t="s">
        <v>146</v>
      </c>
      <c r="F118" s="11">
        <v>12.8333333333333</v>
      </c>
      <c r="G118" s="11">
        <v>21.8333333333333</v>
      </c>
      <c r="H118" s="11">
        <v>584</v>
      </c>
      <c r="I118" s="11">
        <v>318</v>
      </c>
      <c r="J118" s="12">
        <v>4.4966670000000004</v>
      </c>
      <c r="K118" s="12">
        <f t="shared" si="7"/>
        <v>4.85544812042638</v>
      </c>
      <c r="L118" s="11">
        <v>76.086107999999996</v>
      </c>
      <c r="M118" s="11">
        <v>160.91441900000001</v>
      </c>
      <c r="N118" s="11">
        <v>1.677921</v>
      </c>
      <c r="O118" s="5">
        <v>1.4319999999999999</v>
      </c>
      <c r="P118" s="5">
        <v>0.496</v>
      </c>
      <c r="Q118" s="5">
        <v>0.92300000000000004</v>
      </c>
      <c r="R118" s="5">
        <v>0.93799999999999994</v>
      </c>
      <c r="S118" s="6">
        <f t="shared" si="10"/>
        <v>1.4339999999999999</v>
      </c>
      <c r="T118" s="5">
        <f t="shared" si="11"/>
        <v>2.8660000000000001</v>
      </c>
      <c r="U118" s="5">
        <v>206.2791</v>
      </c>
      <c r="V118" s="5">
        <v>16.600000000000001</v>
      </c>
      <c r="W118" s="5">
        <v>4.1399999999999997</v>
      </c>
      <c r="X118" s="5">
        <f t="shared" si="8"/>
        <v>223.48764897074801</v>
      </c>
      <c r="Y118" s="7">
        <f t="shared" si="9"/>
        <v>1.0013966480446901</v>
      </c>
      <c r="Z118" s="5">
        <v>2.06</v>
      </c>
      <c r="AA118" s="5">
        <v>0.92175116141189295</v>
      </c>
      <c r="AB118" s="8">
        <f t="shared" si="12"/>
        <v>20.6</v>
      </c>
    </row>
    <row r="119" spans="1:37">
      <c r="A119" s="2" t="s">
        <v>26</v>
      </c>
      <c r="B119" s="2">
        <v>2</v>
      </c>
      <c r="C119" s="3">
        <v>80</v>
      </c>
      <c r="D119" s="2" t="s">
        <v>129</v>
      </c>
      <c r="E119" s="2" t="s">
        <v>147</v>
      </c>
      <c r="F119" s="11">
        <v>15.3333333333333</v>
      </c>
      <c r="G119" s="11">
        <v>22.3333333333333</v>
      </c>
      <c r="H119" s="11">
        <v>643.33333333333303</v>
      </c>
      <c r="I119" s="11">
        <v>770</v>
      </c>
      <c r="J119" s="12">
        <v>5.3666669999999996</v>
      </c>
      <c r="K119" s="12">
        <f t="shared" si="7"/>
        <v>4.1614904247521496</v>
      </c>
      <c r="L119" s="11">
        <v>82.250709999999998</v>
      </c>
      <c r="M119" s="11">
        <v>214.7902</v>
      </c>
      <c r="N119" s="11">
        <v>1.8766510000000001</v>
      </c>
      <c r="O119" s="5">
        <v>1.51</v>
      </c>
      <c r="P119" s="5">
        <v>0.45400000000000001</v>
      </c>
      <c r="Q119" s="5">
        <v>1.244</v>
      </c>
      <c r="R119" s="5">
        <v>1.2649999999999999</v>
      </c>
      <c r="S119" s="6">
        <f t="shared" si="10"/>
        <v>1.7190000000000001</v>
      </c>
      <c r="T119" s="5">
        <f t="shared" si="11"/>
        <v>3.2290000000000001</v>
      </c>
      <c r="U119" s="5">
        <v>275.2011</v>
      </c>
      <c r="V119" s="5">
        <v>17.2</v>
      </c>
      <c r="W119" s="5">
        <v>3.8</v>
      </c>
      <c r="X119" s="5">
        <f t="shared" si="8"/>
        <v>221.222749196141</v>
      </c>
      <c r="Y119" s="7">
        <f t="shared" si="9"/>
        <v>1.1384105960264901</v>
      </c>
      <c r="Z119" s="5">
        <v>2.57</v>
      </c>
      <c r="AA119" s="5">
        <v>1.16172500763987</v>
      </c>
      <c r="AB119" s="8">
        <f t="shared" si="12"/>
        <v>25.7</v>
      </c>
    </row>
    <row r="120" spans="1:37">
      <c r="A120" s="2" t="s">
        <v>26</v>
      </c>
      <c r="B120" s="2">
        <v>2</v>
      </c>
      <c r="C120" s="3">
        <v>80</v>
      </c>
      <c r="D120" s="2" t="s">
        <v>129</v>
      </c>
      <c r="E120" s="5" t="s">
        <v>148</v>
      </c>
      <c r="G120" s="12"/>
      <c r="I120" s="12"/>
      <c r="J120" s="12"/>
      <c r="K120" s="12"/>
      <c r="O120" s="5">
        <v>1.3660000000000001</v>
      </c>
      <c r="P120" s="5">
        <v>0.47499999999999998</v>
      </c>
      <c r="Q120" s="5">
        <v>1.329</v>
      </c>
      <c r="R120" s="5">
        <v>1.343</v>
      </c>
      <c r="S120" s="6">
        <f t="shared" si="10"/>
        <v>1.8180000000000001</v>
      </c>
      <c r="T120" s="5">
        <f t="shared" si="11"/>
        <v>3.1840000000000002</v>
      </c>
      <c r="U120" s="5">
        <v>286.8929</v>
      </c>
      <c r="V120" s="5">
        <v>19.8</v>
      </c>
      <c r="W120" s="5">
        <v>3.71</v>
      </c>
      <c r="X120" s="5">
        <f t="shared" si="8"/>
        <v>215.871256583898</v>
      </c>
      <c r="Y120" s="7">
        <f t="shared" si="9"/>
        <v>1.3308931185944399</v>
      </c>
    </row>
    <row r="121" spans="1:37">
      <c r="A121" s="2" t="s">
        <v>26</v>
      </c>
      <c r="B121" s="2">
        <v>2</v>
      </c>
      <c r="C121" s="3">
        <v>80</v>
      </c>
      <c r="D121" s="2" t="s">
        <v>129</v>
      </c>
      <c r="E121" s="5" t="s">
        <v>149</v>
      </c>
      <c r="G121" s="12"/>
      <c r="I121" s="12"/>
      <c r="J121" s="12"/>
      <c r="K121" s="12"/>
      <c r="L121" s="11"/>
      <c r="O121" s="5">
        <v>1.365</v>
      </c>
      <c r="P121" s="5">
        <v>0.61199999999999999</v>
      </c>
      <c r="Q121" s="5">
        <v>1.365</v>
      </c>
      <c r="R121" s="5">
        <v>1.395</v>
      </c>
      <c r="S121" s="6">
        <f t="shared" si="10"/>
        <v>2.0070000000000001</v>
      </c>
      <c r="T121" s="5">
        <f t="shared" si="11"/>
        <v>3.3719999999999999</v>
      </c>
      <c r="U121" s="5">
        <v>310.26859999999999</v>
      </c>
      <c r="V121" s="5">
        <v>20.8</v>
      </c>
      <c r="W121" s="5">
        <v>4.46</v>
      </c>
      <c r="X121" s="5">
        <f t="shared" si="8"/>
        <v>227.30300366300401</v>
      </c>
      <c r="Y121" s="7">
        <f t="shared" si="9"/>
        <v>1.47032967032967</v>
      </c>
    </row>
    <row r="122" spans="1:37">
      <c r="A122" s="2" t="s">
        <v>26</v>
      </c>
      <c r="B122" s="2">
        <v>1</v>
      </c>
      <c r="C122" s="3">
        <v>150</v>
      </c>
      <c r="D122" s="2" t="s">
        <v>129</v>
      </c>
      <c r="E122" s="2" t="s">
        <v>150</v>
      </c>
      <c r="F122" s="11">
        <v>11.5</v>
      </c>
      <c r="G122" s="11">
        <v>19.033333333333299</v>
      </c>
      <c r="H122" s="11">
        <v>584.33333333333303</v>
      </c>
      <c r="I122" s="11">
        <v>318.33333333333297</v>
      </c>
      <c r="J122" s="12">
        <v>5.34</v>
      </c>
      <c r="K122" s="12">
        <f t="shared" si="7"/>
        <v>3.5642946317103599</v>
      </c>
      <c r="L122" s="11">
        <v>68.203000000000003</v>
      </c>
      <c r="M122" s="11">
        <v>135.77670000000001</v>
      </c>
      <c r="N122" s="11">
        <v>1.56012</v>
      </c>
      <c r="O122" s="5">
        <v>3.343</v>
      </c>
      <c r="P122" s="5">
        <v>2.0409999999999999</v>
      </c>
      <c r="Q122" s="5">
        <v>2.87</v>
      </c>
      <c r="R122" s="5">
        <v>2.9039999999999999</v>
      </c>
      <c r="S122" s="6">
        <f t="shared" si="10"/>
        <v>4.9450000000000003</v>
      </c>
      <c r="T122" s="5">
        <f t="shared" si="11"/>
        <v>8.2880000000000003</v>
      </c>
      <c r="U122" s="5">
        <v>625.16160000000002</v>
      </c>
      <c r="V122" s="5">
        <v>48.8</v>
      </c>
      <c r="W122" s="5">
        <v>6.65</v>
      </c>
      <c r="X122" s="5">
        <f t="shared" si="8"/>
        <v>217.82634146341499</v>
      </c>
      <c r="Y122" s="7">
        <f t="shared" si="9"/>
        <v>1.47921029015854</v>
      </c>
      <c r="Z122" s="5">
        <v>2.2799999999999998</v>
      </c>
      <c r="AA122" s="5">
        <v>1.0467053638611199</v>
      </c>
      <c r="AB122" s="8">
        <f t="shared" si="12"/>
        <v>22.8</v>
      </c>
    </row>
    <row r="123" spans="1:37">
      <c r="A123" s="2" t="s">
        <v>26</v>
      </c>
      <c r="B123" s="2">
        <v>1</v>
      </c>
      <c r="C123" s="3">
        <v>150</v>
      </c>
      <c r="D123" s="2" t="s">
        <v>129</v>
      </c>
      <c r="E123" s="2" t="s">
        <v>151</v>
      </c>
      <c r="F123" s="11">
        <v>12.9</v>
      </c>
      <c r="G123" s="11">
        <v>19.2</v>
      </c>
      <c r="H123" s="11">
        <v>646.33333333333303</v>
      </c>
      <c r="I123" s="11">
        <v>794.33333333333303</v>
      </c>
      <c r="J123" s="12">
        <v>6.1366670000000001</v>
      </c>
      <c r="K123" s="12">
        <f t="shared" si="7"/>
        <v>3.1287342135396998</v>
      </c>
      <c r="L123" s="11">
        <v>61.632429999999999</v>
      </c>
      <c r="M123" s="11">
        <v>120.958</v>
      </c>
      <c r="N123" s="11">
        <v>1.370709</v>
      </c>
      <c r="O123" s="5">
        <v>2.1240000000000001</v>
      </c>
      <c r="P123" s="5">
        <v>2.3149999999999999</v>
      </c>
      <c r="Q123" s="5">
        <v>3.3759999999999999</v>
      </c>
      <c r="R123" s="5">
        <v>3.403</v>
      </c>
      <c r="S123" s="6">
        <f t="shared" si="10"/>
        <v>5.718</v>
      </c>
      <c r="T123" s="5">
        <f t="shared" si="11"/>
        <v>7.8419999999999996</v>
      </c>
      <c r="U123" s="5">
        <v>816.93169999999998</v>
      </c>
      <c r="V123" s="5">
        <v>55.4</v>
      </c>
      <c r="W123" s="5">
        <v>6.44</v>
      </c>
      <c r="X123" s="5">
        <f t="shared" si="8"/>
        <v>241.982138625592</v>
      </c>
      <c r="Y123" s="7">
        <f t="shared" si="9"/>
        <v>2.6920903954802302</v>
      </c>
      <c r="Z123" s="5">
        <v>2.23</v>
      </c>
      <c r="AA123" s="5">
        <v>0.92155562086769305</v>
      </c>
      <c r="AB123" s="8">
        <f t="shared" si="12"/>
        <v>22.3</v>
      </c>
    </row>
    <row r="124" spans="1:37">
      <c r="A124" s="2" t="s">
        <v>26</v>
      </c>
      <c r="B124" s="2">
        <v>1</v>
      </c>
      <c r="C124" s="3">
        <v>150</v>
      </c>
      <c r="D124" s="2" t="s">
        <v>129</v>
      </c>
      <c r="E124" s="2" t="s">
        <v>152</v>
      </c>
      <c r="F124" s="11">
        <v>11.4</v>
      </c>
      <c r="G124" s="11">
        <v>18.100000000000001</v>
      </c>
      <c r="H124" s="11">
        <v>604.66666666666697</v>
      </c>
      <c r="I124" s="11">
        <v>378.66666666666703</v>
      </c>
      <c r="J124" s="12">
        <v>5.3366670000000003</v>
      </c>
      <c r="K124" s="12">
        <f t="shared" si="7"/>
        <v>3.3916300192610902</v>
      </c>
      <c r="L124" s="11">
        <v>63.846319999999999</v>
      </c>
      <c r="M124" s="11">
        <v>119.0705</v>
      </c>
      <c r="N124" s="11">
        <v>1.778718</v>
      </c>
      <c r="O124" s="5">
        <v>2.7589999999999999</v>
      </c>
      <c r="P124" s="5">
        <v>2.1070000000000002</v>
      </c>
      <c r="Q124" s="5">
        <v>3.1280000000000001</v>
      </c>
      <c r="R124" s="5">
        <v>3.173</v>
      </c>
      <c r="S124" s="6">
        <f t="shared" si="10"/>
        <v>5.28</v>
      </c>
      <c r="T124" s="5">
        <f t="shared" si="11"/>
        <v>8.0389999999999997</v>
      </c>
      <c r="U124" s="5">
        <v>682.51310000000001</v>
      </c>
      <c r="V124" s="5">
        <v>61.2</v>
      </c>
      <c r="W124" s="5">
        <v>6.11</v>
      </c>
      <c r="X124" s="5">
        <f t="shared" si="8"/>
        <v>218.19472506393899</v>
      </c>
      <c r="Y124" s="7">
        <f t="shared" si="9"/>
        <v>1.9137368611815899</v>
      </c>
      <c r="Z124" s="5">
        <v>1.83</v>
      </c>
      <c r="AA124" s="5">
        <v>0.83870038538454394</v>
      </c>
      <c r="AB124" s="8">
        <f t="shared" si="12"/>
        <v>18.3</v>
      </c>
      <c r="AJ124" s="5"/>
      <c r="AK124" s="5"/>
    </row>
    <row r="125" spans="1:37">
      <c r="A125" s="2" t="s">
        <v>26</v>
      </c>
      <c r="B125" s="2">
        <v>1</v>
      </c>
      <c r="C125" s="3">
        <v>150</v>
      </c>
      <c r="D125" s="2" t="s">
        <v>129</v>
      </c>
      <c r="E125" s="5" t="s">
        <v>153</v>
      </c>
      <c r="G125" s="12"/>
      <c r="I125" s="12"/>
      <c r="J125" s="12"/>
      <c r="K125" s="12"/>
      <c r="L125" s="11"/>
      <c r="O125" s="5">
        <v>2.0640000000000001</v>
      </c>
      <c r="P125" s="5">
        <v>1.5109999999999999</v>
      </c>
      <c r="Q125" s="5">
        <v>2.355</v>
      </c>
      <c r="R125" s="5">
        <v>2.3919999999999999</v>
      </c>
      <c r="S125" s="6">
        <f t="shared" si="10"/>
        <v>3.903</v>
      </c>
      <c r="T125" s="5">
        <f t="shared" si="11"/>
        <v>5.9669999999999996</v>
      </c>
      <c r="U125" s="5">
        <v>534.99459999999999</v>
      </c>
      <c r="V125" s="5">
        <v>51.4</v>
      </c>
      <c r="W125" s="5">
        <v>4.96</v>
      </c>
      <c r="X125" s="5">
        <f t="shared" si="8"/>
        <v>227.173927813163</v>
      </c>
      <c r="Y125" s="7">
        <f t="shared" si="9"/>
        <v>1.8909883720930201</v>
      </c>
      <c r="AC125" s="5"/>
      <c r="AD125" s="5"/>
      <c r="AE125" s="5"/>
      <c r="AF125" s="5"/>
      <c r="AG125" s="5"/>
      <c r="AH125" s="5"/>
      <c r="AI125" s="25"/>
      <c r="AJ125" s="5"/>
      <c r="AK125" s="5"/>
    </row>
    <row r="126" spans="1:37">
      <c r="A126" s="2" t="s">
        <v>26</v>
      </c>
      <c r="B126" s="2">
        <v>1</v>
      </c>
      <c r="C126" s="3">
        <v>150</v>
      </c>
      <c r="D126" s="2" t="s">
        <v>129</v>
      </c>
      <c r="E126" s="5" t="s">
        <v>154</v>
      </c>
      <c r="G126" s="12"/>
      <c r="I126" s="12"/>
      <c r="J126" s="12"/>
      <c r="K126" s="12"/>
      <c r="L126" s="11"/>
      <c r="O126" s="5">
        <v>2.8410000000000002</v>
      </c>
      <c r="P126" s="5">
        <v>1.385</v>
      </c>
      <c r="Q126" s="5">
        <v>2.726</v>
      </c>
      <c r="R126" s="5">
        <v>2.774</v>
      </c>
      <c r="S126" s="6">
        <f t="shared" si="10"/>
        <v>4.1589999999999998</v>
      </c>
      <c r="T126" s="5">
        <f t="shared" si="11"/>
        <v>7</v>
      </c>
      <c r="U126" s="5">
        <v>573.72879999999998</v>
      </c>
      <c r="V126" s="5">
        <v>36.299999999999997</v>
      </c>
      <c r="W126" s="5">
        <v>6.13</v>
      </c>
      <c r="X126" s="5">
        <f t="shared" si="8"/>
        <v>210.465443873808</v>
      </c>
      <c r="Y126" s="7">
        <f t="shared" si="9"/>
        <v>1.4639211545230599</v>
      </c>
      <c r="AC126" s="5"/>
      <c r="AD126" s="5"/>
      <c r="AE126" s="5"/>
      <c r="AF126" s="5"/>
      <c r="AG126" s="5"/>
      <c r="AH126" s="5"/>
      <c r="AI126" s="25"/>
      <c r="AJ126" s="5"/>
      <c r="AK126" s="5"/>
    </row>
    <row r="127" spans="1:37">
      <c r="A127" s="2" t="s">
        <v>26</v>
      </c>
      <c r="B127" s="2">
        <v>2</v>
      </c>
      <c r="C127" s="3">
        <v>150</v>
      </c>
      <c r="D127" s="2" t="s">
        <v>129</v>
      </c>
      <c r="E127" s="2" t="s">
        <v>155</v>
      </c>
      <c r="F127" s="11">
        <v>13.0666666666667</v>
      </c>
      <c r="G127" s="11">
        <v>21</v>
      </c>
      <c r="H127" s="11">
        <v>589</v>
      </c>
      <c r="I127" s="11">
        <v>368.33333333333297</v>
      </c>
      <c r="J127" s="12">
        <v>5.58</v>
      </c>
      <c r="K127" s="12">
        <f t="shared" si="7"/>
        <v>3.76344086021505</v>
      </c>
      <c r="L127" s="11">
        <v>79.11439</v>
      </c>
      <c r="M127" s="11">
        <v>152.47669999999999</v>
      </c>
      <c r="N127" s="11">
        <v>1.978774</v>
      </c>
      <c r="O127" s="5">
        <v>2.9380000000000002</v>
      </c>
      <c r="P127" s="5">
        <v>1.633</v>
      </c>
      <c r="Q127" s="5">
        <v>3.016</v>
      </c>
      <c r="R127" s="5">
        <v>3.0630000000000002</v>
      </c>
      <c r="S127" s="6">
        <f t="shared" si="10"/>
        <v>4.6959999999999997</v>
      </c>
      <c r="T127" s="5">
        <f t="shared" si="11"/>
        <v>7.6340000000000003</v>
      </c>
      <c r="U127" s="5">
        <v>604.73419999999999</v>
      </c>
      <c r="V127" s="5">
        <v>45.2</v>
      </c>
      <c r="W127" s="5">
        <v>5.34</v>
      </c>
      <c r="X127" s="5">
        <f t="shared" si="8"/>
        <v>200.50868700265301</v>
      </c>
      <c r="Y127" s="7">
        <f t="shared" si="9"/>
        <v>1.59836623553438</v>
      </c>
      <c r="Z127" s="5">
        <v>2.23</v>
      </c>
      <c r="AA127" s="5">
        <v>1.1121712646647099</v>
      </c>
      <c r="AB127" s="8">
        <f t="shared" si="12"/>
        <v>22.3</v>
      </c>
      <c r="AJ127" s="5"/>
      <c r="AK127" s="5"/>
    </row>
    <row r="128" spans="1:37">
      <c r="A128" s="2" t="s">
        <v>26</v>
      </c>
      <c r="B128" s="2">
        <v>2</v>
      </c>
      <c r="C128" s="3">
        <v>150</v>
      </c>
      <c r="D128" s="2" t="s">
        <v>129</v>
      </c>
      <c r="E128" s="2" t="s">
        <v>156</v>
      </c>
      <c r="F128" s="11">
        <v>11.3</v>
      </c>
      <c r="G128" s="11">
        <v>17.766666666666701</v>
      </c>
      <c r="H128" s="11">
        <v>638.33333333333303</v>
      </c>
      <c r="I128" s="11">
        <v>588.66666666666697</v>
      </c>
      <c r="J128" s="12">
        <v>5.6866669999999999</v>
      </c>
      <c r="K128" s="12">
        <f t="shared" si="7"/>
        <v>3.1242671087768401</v>
      </c>
      <c r="L128" s="11">
        <v>88.590350000000001</v>
      </c>
      <c r="M128" s="11">
        <v>196.87809999999999</v>
      </c>
      <c r="N128" s="11">
        <v>1.3301229999999999</v>
      </c>
      <c r="O128" s="5">
        <v>2.8029999999999999</v>
      </c>
      <c r="P128" s="5">
        <v>1.7549999999999999</v>
      </c>
      <c r="Q128" s="5">
        <v>3.3450000000000002</v>
      </c>
      <c r="R128" s="5">
        <v>3.41</v>
      </c>
      <c r="S128" s="6">
        <f t="shared" si="10"/>
        <v>5.165</v>
      </c>
      <c r="T128" s="5">
        <f t="shared" si="11"/>
        <v>7.968</v>
      </c>
      <c r="U128" s="5">
        <v>636.00779999999997</v>
      </c>
      <c r="V128" s="5">
        <v>52.4</v>
      </c>
      <c r="W128" s="5">
        <v>5.04</v>
      </c>
      <c r="X128" s="5">
        <f t="shared" si="8"/>
        <v>190.13686098654699</v>
      </c>
      <c r="Y128" s="7">
        <f t="shared" si="9"/>
        <v>1.8426685693899401</v>
      </c>
      <c r="Z128" s="5">
        <v>1.69</v>
      </c>
      <c r="AA128" s="5">
        <v>0.88883343883518395</v>
      </c>
      <c r="AB128" s="8">
        <f t="shared" si="12"/>
        <v>16.899999999999999</v>
      </c>
    </row>
    <row r="129" spans="1:28">
      <c r="A129" s="2" t="s">
        <v>26</v>
      </c>
      <c r="B129" s="2">
        <v>2</v>
      </c>
      <c r="C129" s="3">
        <v>150</v>
      </c>
      <c r="D129" s="2" t="s">
        <v>129</v>
      </c>
      <c r="E129" s="2" t="s">
        <v>157</v>
      </c>
      <c r="F129" s="11">
        <v>14.5666666666667</v>
      </c>
      <c r="G129" s="11">
        <v>20.7</v>
      </c>
      <c r="H129" s="11">
        <v>649.33333333333303</v>
      </c>
      <c r="I129" s="11">
        <v>1032</v>
      </c>
      <c r="J129" s="12">
        <v>6.4</v>
      </c>
      <c r="K129" s="12">
        <f t="shared" si="7"/>
        <v>3.234375</v>
      </c>
      <c r="L129" s="11">
        <v>83.420180000000002</v>
      </c>
      <c r="M129" s="11">
        <v>224.7028</v>
      </c>
      <c r="N129" s="11">
        <v>2.0877910000000002</v>
      </c>
      <c r="O129" s="5">
        <v>3.109</v>
      </c>
      <c r="P129" s="5">
        <v>1.3380000000000001</v>
      </c>
      <c r="Q129" s="5">
        <v>2.927</v>
      </c>
      <c r="R129" s="5">
        <v>2.9849999999999999</v>
      </c>
      <c r="S129" s="6">
        <f t="shared" si="10"/>
        <v>4.3230000000000004</v>
      </c>
      <c r="T129" s="5">
        <f t="shared" si="11"/>
        <v>7.4320000000000004</v>
      </c>
      <c r="U129" s="5">
        <v>664.78139999999996</v>
      </c>
      <c r="V129" s="5">
        <v>40.4</v>
      </c>
      <c r="W129" s="5">
        <v>4.9800000000000004</v>
      </c>
      <c r="X129" s="5">
        <f t="shared" si="8"/>
        <v>227.120396310215</v>
      </c>
      <c r="Y129" s="7">
        <f t="shared" si="9"/>
        <v>1.39047925377935</v>
      </c>
      <c r="Z129" s="5">
        <v>1.95</v>
      </c>
      <c r="AA129" s="5">
        <v>0.85857546555905495</v>
      </c>
      <c r="AB129" s="8">
        <f t="shared" si="12"/>
        <v>19.5</v>
      </c>
    </row>
    <row r="130" spans="1:28">
      <c r="A130" s="2" t="s">
        <v>26</v>
      </c>
      <c r="B130" s="2">
        <v>2</v>
      </c>
      <c r="C130" s="3">
        <v>150</v>
      </c>
      <c r="D130" s="2" t="s">
        <v>129</v>
      </c>
      <c r="E130" s="5" t="s">
        <v>158</v>
      </c>
      <c r="G130" s="12"/>
      <c r="I130" s="12"/>
      <c r="J130" s="12"/>
      <c r="K130" s="12"/>
      <c r="L130" s="11"/>
      <c r="O130" s="5">
        <v>3.41</v>
      </c>
      <c r="P130" s="5">
        <v>1.1080000000000001</v>
      </c>
      <c r="Q130" s="5">
        <v>2.3109999999999999</v>
      </c>
      <c r="R130" s="5">
        <v>2.3460000000000001</v>
      </c>
      <c r="S130" s="6">
        <f t="shared" si="10"/>
        <v>3.4540000000000002</v>
      </c>
      <c r="T130" s="5">
        <f t="shared" si="11"/>
        <v>6.8639999999999999</v>
      </c>
      <c r="U130" s="5">
        <v>417.4477</v>
      </c>
      <c r="V130" s="5">
        <v>28</v>
      </c>
      <c r="W130" s="5">
        <v>5.45</v>
      </c>
      <c r="X130" s="5">
        <f t="shared" si="8"/>
        <v>180.63509303331901</v>
      </c>
      <c r="Y130" s="7">
        <f t="shared" si="9"/>
        <v>1.0129032258064501</v>
      </c>
    </row>
    <row r="131" spans="1:28">
      <c r="A131" s="2" t="s">
        <v>26</v>
      </c>
      <c r="B131" s="2">
        <v>2</v>
      </c>
      <c r="C131" s="3">
        <v>150</v>
      </c>
      <c r="D131" s="2" t="s">
        <v>129</v>
      </c>
      <c r="E131" s="5" t="s">
        <v>159</v>
      </c>
      <c r="G131" s="12"/>
      <c r="I131" s="12"/>
      <c r="J131" s="12"/>
      <c r="K131" s="12"/>
      <c r="L131" s="11"/>
      <c r="O131" s="5">
        <v>3.3540000000000001</v>
      </c>
      <c r="P131" s="5">
        <v>4.4790000000000001</v>
      </c>
      <c r="Q131" s="5">
        <v>3.2679999999999998</v>
      </c>
      <c r="R131" s="5">
        <v>3.3079999999999998</v>
      </c>
      <c r="S131" s="6">
        <f t="shared" si="10"/>
        <v>7.7869999999999999</v>
      </c>
      <c r="T131" s="5">
        <f t="shared" si="11"/>
        <v>11.141</v>
      </c>
      <c r="U131" s="5">
        <v>629.99360000000001</v>
      </c>
      <c r="V131" s="5">
        <v>34.700000000000003</v>
      </c>
      <c r="W131" s="5">
        <v>5.86</v>
      </c>
      <c r="X131" s="5">
        <f t="shared" ref="X131:X194" si="13">U131/Q131</f>
        <v>192.77649938800499</v>
      </c>
      <c r="Y131" s="7">
        <f t="shared" ref="Y131:Y194" si="14">(P131+R131)/O131</f>
        <v>2.3217054263565902</v>
      </c>
    </row>
    <row r="132" spans="1:28">
      <c r="A132" s="2" t="s">
        <v>26</v>
      </c>
      <c r="B132" s="2">
        <v>1</v>
      </c>
      <c r="C132" s="3">
        <v>220</v>
      </c>
      <c r="D132" s="2" t="s">
        <v>129</v>
      </c>
      <c r="E132" s="2" t="s">
        <v>160</v>
      </c>
      <c r="F132" s="11">
        <v>17.5</v>
      </c>
      <c r="G132" s="11">
        <v>28.8333333333333</v>
      </c>
      <c r="H132" s="11">
        <v>554.66666666666697</v>
      </c>
      <c r="I132" s="11">
        <v>401.66666666666703</v>
      </c>
      <c r="J132" s="12">
        <v>5.8833330000000004</v>
      </c>
      <c r="K132" s="12">
        <f t="shared" ref="K132:K194" si="15">G132/J132</f>
        <v>4.9008501360255003</v>
      </c>
      <c r="L132" s="11">
        <v>104.9772</v>
      </c>
      <c r="M132" s="11">
        <v>297.04829999999998</v>
      </c>
      <c r="N132" s="11">
        <v>1.358749</v>
      </c>
      <c r="O132" s="5">
        <v>2.8370000000000002</v>
      </c>
      <c r="P132" s="5">
        <v>3.01</v>
      </c>
      <c r="Q132" s="5">
        <v>4.2560000000000002</v>
      </c>
      <c r="R132" s="5">
        <v>4.3150000000000004</v>
      </c>
      <c r="S132" s="6">
        <f t="shared" ref="S132:S195" si="16">P132+R132</f>
        <v>7.3250000000000002</v>
      </c>
      <c r="T132" s="5">
        <f t="shared" si="11"/>
        <v>10.162000000000001</v>
      </c>
      <c r="U132" s="5">
        <v>1030.6948</v>
      </c>
      <c r="V132" s="5">
        <v>58.5</v>
      </c>
      <c r="W132" s="5">
        <v>6.12</v>
      </c>
      <c r="X132" s="5">
        <f t="shared" si="13"/>
        <v>242.17453007518799</v>
      </c>
      <c r="Y132" s="7">
        <f t="shared" si="14"/>
        <v>2.5819527670074001</v>
      </c>
      <c r="Z132" s="5">
        <v>3.28</v>
      </c>
      <c r="AA132" s="5">
        <v>1.3543951128889</v>
      </c>
      <c r="AB132" s="8">
        <f t="shared" ref="AB132:AB164" si="17">Z132*10</f>
        <v>32.799999999999997</v>
      </c>
    </row>
    <row r="133" spans="1:28">
      <c r="A133" s="2" t="s">
        <v>26</v>
      </c>
      <c r="B133" s="2">
        <v>1</v>
      </c>
      <c r="C133" s="3">
        <v>220</v>
      </c>
      <c r="D133" s="2" t="s">
        <v>129</v>
      </c>
      <c r="E133" s="2" t="s">
        <v>161</v>
      </c>
      <c r="F133" s="11">
        <v>18</v>
      </c>
      <c r="G133" s="11">
        <v>26.8333333333333</v>
      </c>
      <c r="H133" s="11">
        <v>633.66666666666697</v>
      </c>
      <c r="I133" s="11">
        <v>969.33333333333303</v>
      </c>
      <c r="J133" s="12">
        <v>6.5333300000000003</v>
      </c>
      <c r="K133" s="12">
        <f t="shared" si="15"/>
        <v>4.1071449526249797</v>
      </c>
      <c r="L133" s="11">
        <v>82.250711999999993</v>
      </c>
      <c r="M133" s="11">
        <v>214.79017300000001</v>
      </c>
      <c r="N133" s="11">
        <v>1.8766510000000001</v>
      </c>
      <c r="O133" s="5">
        <v>2.1829999999999998</v>
      </c>
      <c r="P133" s="5">
        <v>2.7120000000000002</v>
      </c>
      <c r="Q133" s="5">
        <v>3.194</v>
      </c>
      <c r="R133" s="5">
        <v>3.2610000000000001</v>
      </c>
      <c r="S133" s="6">
        <f t="shared" si="16"/>
        <v>5.9729999999999999</v>
      </c>
      <c r="T133" s="5">
        <f t="shared" si="11"/>
        <v>8.1560000000000006</v>
      </c>
      <c r="U133" s="5">
        <v>839.36609999999996</v>
      </c>
      <c r="V133" s="5">
        <v>71</v>
      </c>
      <c r="W133" s="5">
        <v>6.45</v>
      </c>
      <c r="X133" s="5">
        <f t="shared" si="13"/>
        <v>262.79464621164698</v>
      </c>
      <c r="Y133" s="7">
        <f t="shared" si="14"/>
        <v>2.7361429225835998</v>
      </c>
      <c r="Z133" s="5">
        <v>2.59</v>
      </c>
      <c r="AA133" s="5">
        <v>0.98556041279246298</v>
      </c>
      <c r="AB133" s="8">
        <f t="shared" si="17"/>
        <v>25.9</v>
      </c>
    </row>
    <row r="134" spans="1:28">
      <c r="A134" s="2" t="s">
        <v>26</v>
      </c>
      <c r="B134" s="2">
        <v>1</v>
      </c>
      <c r="C134" s="3">
        <v>220</v>
      </c>
      <c r="D134" s="2" t="s">
        <v>129</v>
      </c>
      <c r="E134" s="2" t="s">
        <v>162</v>
      </c>
      <c r="F134" s="11">
        <v>15.766666666666699</v>
      </c>
      <c r="G134" s="11">
        <v>22.466666666666701</v>
      </c>
      <c r="H134" s="11">
        <v>635</v>
      </c>
      <c r="I134" s="11">
        <v>690.66666666666697</v>
      </c>
      <c r="J134" s="12">
        <v>5.9933329999999998</v>
      </c>
      <c r="K134" s="12">
        <f t="shared" si="15"/>
        <v>3.7486097746724001</v>
      </c>
      <c r="L134" s="11">
        <v>79.114388000000005</v>
      </c>
      <c r="M134" s="11">
        <v>152.47669200000001</v>
      </c>
      <c r="N134" s="11">
        <v>1.978774</v>
      </c>
      <c r="O134" s="5">
        <v>2.0760000000000001</v>
      </c>
      <c r="P134" s="5">
        <v>2.9369999999999998</v>
      </c>
      <c r="Q134" s="5">
        <v>3.76</v>
      </c>
      <c r="R134" s="5">
        <v>3.8290000000000002</v>
      </c>
      <c r="S134" s="6">
        <f t="shared" si="16"/>
        <v>6.766</v>
      </c>
      <c r="T134" s="5">
        <f t="shared" ref="T134:T197" si="18">O134+P134+R134</f>
        <v>8.8420000000000005</v>
      </c>
      <c r="U134" s="5">
        <v>969.05930000000001</v>
      </c>
      <c r="V134" s="5">
        <v>72.099999999999994</v>
      </c>
      <c r="W134" s="5">
        <v>6.53</v>
      </c>
      <c r="X134" s="5">
        <f t="shared" si="13"/>
        <v>257.72853723404302</v>
      </c>
      <c r="Y134" s="7">
        <f t="shared" si="14"/>
        <v>3.25915221579961</v>
      </c>
      <c r="Z134" s="5">
        <v>2.67</v>
      </c>
      <c r="AA134" s="5">
        <v>1.0359737531026201</v>
      </c>
      <c r="AB134" s="8">
        <f t="shared" si="17"/>
        <v>26.7</v>
      </c>
    </row>
    <row r="135" spans="1:28">
      <c r="A135" s="2" t="s">
        <v>26</v>
      </c>
      <c r="B135" s="2">
        <v>1</v>
      </c>
      <c r="C135" s="3">
        <v>220</v>
      </c>
      <c r="D135" s="2" t="s">
        <v>129</v>
      </c>
      <c r="E135" s="5" t="s">
        <v>163</v>
      </c>
      <c r="G135" s="12"/>
      <c r="I135" s="12"/>
      <c r="J135" s="12"/>
      <c r="K135" s="12"/>
      <c r="L135" s="11"/>
      <c r="O135" s="5">
        <v>2.4609999999999999</v>
      </c>
      <c r="P135" s="5">
        <v>2.3439999999999999</v>
      </c>
      <c r="Q135" s="5">
        <v>4.1399999999999997</v>
      </c>
      <c r="R135" s="5">
        <v>4.2069999999999999</v>
      </c>
      <c r="S135" s="6">
        <f t="shared" si="16"/>
        <v>6.5510000000000002</v>
      </c>
      <c r="T135" s="5">
        <f t="shared" si="18"/>
        <v>9.0120000000000005</v>
      </c>
      <c r="U135" s="5">
        <v>1084.7091</v>
      </c>
      <c r="V135" s="5">
        <v>46.5</v>
      </c>
      <c r="W135" s="5">
        <v>8.01</v>
      </c>
      <c r="X135" s="5">
        <f t="shared" si="13"/>
        <v>262.00702898550702</v>
      </c>
      <c r="Y135" s="7">
        <f t="shared" si="14"/>
        <v>2.66192604632263</v>
      </c>
    </row>
    <row r="136" spans="1:28">
      <c r="A136" s="2" t="s">
        <v>26</v>
      </c>
      <c r="B136" s="2">
        <v>1</v>
      </c>
      <c r="C136" s="3">
        <v>220</v>
      </c>
      <c r="D136" s="2" t="s">
        <v>129</v>
      </c>
      <c r="E136" s="5" t="s">
        <v>164</v>
      </c>
      <c r="G136" s="12"/>
      <c r="I136" s="12"/>
      <c r="J136" s="12"/>
      <c r="K136" s="12"/>
      <c r="L136" s="11"/>
      <c r="O136" s="5">
        <v>4.2530000000000001</v>
      </c>
      <c r="P136" s="5">
        <v>4.05</v>
      </c>
      <c r="Q136" s="5">
        <v>4.6050000000000004</v>
      </c>
      <c r="R136" s="5">
        <v>4.6859999999999999</v>
      </c>
      <c r="S136" s="6">
        <f t="shared" si="16"/>
        <v>8.7360000000000007</v>
      </c>
      <c r="T136" s="5">
        <f t="shared" si="18"/>
        <v>12.989000000000001</v>
      </c>
      <c r="U136" s="5">
        <v>995.63720000000001</v>
      </c>
      <c r="V136" s="5">
        <v>71.400000000000006</v>
      </c>
      <c r="W136" s="5">
        <v>6.79</v>
      </c>
      <c r="X136" s="5">
        <f t="shared" si="13"/>
        <v>216.20786102062999</v>
      </c>
      <c r="Y136" s="7">
        <f t="shared" si="14"/>
        <v>2.0540794733129601</v>
      </c>
    </row>
    <row r="137" spans="1:28">
      <c r="A137" s="2" t="s">
        <v>26</v>
      </c>
      <c r="B137" s="2">
        <v>2</v>
      </c>
      <c r="C137" s="3">
        <v>220</v>
      </c>
      <c r="D137" s="2" t="s">
        <v>129</v>
      </c>
      <c r="E137" s="2" t="s">
        <v>165</v>
      </c>
      <c r="F137" s="11">
        <v>14</v>
      </c>
      <c r="G137" s="11">
        <v>20.866666666666699</v>
      </c>
      <c r="H137" s="11">
        <v>633.33333333333303</v>
      </c>
      <c r="I137" s="11">
        <v>577.33333333333303</v>
      </c>
      <c r="J137" s="12">
        <v>5.6</v>
      </c>
      <c r="K137" s="12">
        <f t="shared" si="15"/>
        <v>3.7261904761904798</v>
      </c>
      <c r="L137" s="11">
        <v>91.556299999999993</v>
      </c>
      <c r="M137" s="11">
        <v>216.6489</v>
      </c>
      <c r="N137" s="11">
        <v>1.1598930000000001</v>
      </c>
      <c r="O137" s="5">
        <v>2.9340000000000002</v>
      </c>
      <c r="P137" s="5">
        <v>3.234</v>
      </c>
      <c r="Q137" s="5">
        <v>4.5039999999999996</v>
      </c>
      <c r="R137" s="5">
        <v>4.585</v>
      </c>
      <c r="S137" s="6">
        <f t="shared" si="16"/>
        <v>7.819</v>
      </c>
      <c r="T137" s="5">
        <f t="shared" si="18"/>
        <v>10.753</v>
      </c>
      <c r="U137" s="5">
        <v>1005.5393</v>
      </c>
      <c r="V137" s="5">
        <v>67.3</v>
      </c>
      <c r="W137" s="5">
        <v>6.91</v>
      </c>
      <c r="X137" s="5">
        <f t="shared" si="13"/>
        <v>223.25472912966299</v>
      </c>
      <c r="Y137" s="7">
        <f t="shared" si="14"/>
        <v>2.66496250852079</v>
      </c>
      <c r="Z137" s="5">
        <v>2.15</v>
      </c>
      <c r="AA137" s="5">
        <v>0.96302551277707404</v>
      </c>
      <c r="AB137" s="8">
        <f t="shared" si="17"/>
        <v>21.5</v>
      </c>
    </row>
    <row r="138" spans="1:28">
      <c r="A138" s="2" t="s">
        <v>26</v>
      </c>
      <c r="B138" s="2">
        <v>2</v>
      </c>
      <c r="C138" s="3">
        <v>220</v>
      </c>
      <c r="D138" s="2" t="s">
        <v>129</v>
      </c>
      <c r="E138" s="2" t="s">
        <v>166</v>
      </c>
      <c r="F138" s="11">
        <v>19.399999999999999</v>
      </c>
      <c r="G138" s="11">
        <v>27.966666666666701</v>
      </c>
      <c r="H138" s="11">
        <v>617</v>
      </c>
      <c r="I138" s="11">
        <v>725</v>
      </c>
      <c r="J138" s="12">
        <v>6.806667</v>
      </c>
      <c r="K138" s="12">
        <f t="shared" si="15"/>
        <v>4.1087167429619598</v>
      </c>
      <c r="L138" s="11">
        <v>63.014310000000002</v>
      </c>
      <c r="M138" s="11">
        <v>131.50989999999999</v>
      </c>
      <c r="N138" s="11">
        <v>1.4877339999999999</v>
      </c>
      <c r="O138" s="5">
        <v>2.7229999999999999</v>
      </c>
      <c r="P138" s="5">
        <v>2.89</v>
      </c>
      <c r="Q138" s="5">
        <v>4.1870000000000003</v>
      </c>
      <c r="R138" s="5">
        <v>4.2709999999999999</v>
      </c>
      <c r="S138" s="6">
        <f t="shared" si="16"/>
        <v>7.1609999999999996</v>
      </c>
      <c r="T138" s="5">
        <f t="shared" si="18"/>
        <v>9.8840000000000003</v>
      </c>
      <c r="U138" s="5">
        <v>952.56280000000004</v>
      </c>
      <c r="V138" s="5">
        <v>54.3</v>
      </c>
      <c r="W138" s="5">
        <v>8.2100000000000009</v>
      </c>
      <c r="X138" s="5">
        <f t="shared" si="13"/>
        <v>227.50484834010001</v>
      </c>
      <c r="Y138" s="7">
        <f t="shared" si="14"/>
        <v>2.6298200514138799</v>
      </c>
      <c r="Z138" s="5">
        <v>3.04</v>
      </c>
      <c r="AA138" s="5">
        <v>1.3362352592396001</v>
      </c>
      <c r="AB138" s="8">
        <f t="shared" si="17"/>
        <v>30.4</v>
      </c>
    </row>
    <row r="139" spans="1:28">
      <c r="A139" s="2" t="s">
        <v>26</v>
      </c>
      <c r="B139" s="2">
        <v>2</v>
      </c>
      <c r="C139" s="3">
        <v>220</v>
      </c>
      <c r="D139" s="2" t="s">
        <v>129</v>
      </c>
      <c r="E139" s="2" t="s">
        <v>167</v>
      </c>
      <c r="F139" s="11">
        <v>18.7</v>
      </c>
      <c r="G139" s="11">
        <v>27.133333333333301</v>
      </c>
      <c r="H139" s="11">
        <v>623.66666666666697</v>
      </c>
      <c r="I139" s="11">
        <v>856.66666666666697</v>
      </c>
      <c r="J139" s="12">
        <v>6.4933329999999998</v>
      </c>
      <c r="K139" s="12">
        <f t="shared" si="15"/>
        <v>4.1786449783698698</v>
      </c>
      <c r="L139" s="11">
        <v>40.737810000000003</v>
      </c>
      <c r="M139" s="11">
        <v>86.994879999999995</v>
      </c>
      <c r="N139" s="11">
        <v>1.663824</v>
      </c>
      <c r="O139" s="5">
        <v>2.6429999999999998</v>
      </c>
      <c r="P139" s="5">
        <v>1.9750000000000001</v>
      </c>
      <c r="Q139" s="5">
        <v>3.605</v>
      </c>
      <c r="R139" s="5">
        <v>3.6539999999999999</v>
      </c>
      <c r="S139" s="6">
        <f t="shared" si="16"/>
        <v>5.6289999999999996</v>
      </c>
      <c r="T139" s="5">
        <f t="shared" si="18"/>
        <v>8.2720000000000002</v>
      </c>
      <c r="U139" s="5">
        <v>791.18330000000003</v>
      </c>
      <c r="V139" s="5">
        <v>53.5</v>
      </c>
      <c r="W139" s="5">
        <v>5.5</v>
      </c>
      <c r="X139" s="5">
        <f t="shared" si="13"/>
        <v>219.46832177531201</v>
      </c>
      <c r="Y139" s="7">
        <f t="shared" si="14"/>
        <v>2.12977676882331</v>
      </c>
      <c r="Z139" s="5">
        <v>2.2799999999999998</v>
      </c>
      <c r="AA139" s="5">
        <v>1.0388743038433701</v>
      </c>
      <c r="AB139" s="8">
        <f t="shared" si="17"/>
        <v>22.8</v>
      </c>
    </row>
    <row r="140" spans="1:28">
      <c r="A140" s="2" t="s">
        <v>26</v>
      </c>
      <c r="B140" s="2">
        <v>2</v>
      </c>
      <c r="C140" s="3">
        <v>220</v>
      </c>
      <c r="D140" s="2" t="s">
        <v>129</v>
      </c>
      <c r="E140" s="5" t="s">
        <v>168</v>
      </c>
      <c r="G140" s="12"/>
      <c r="I140" s="12"/>
      <c r="J140" s="12"/>
      <c r="K140" s="12"/>
      <c r="L140" s="11"/>
      <c r="O140" s="5">
        <v>2.681</v>
      </c>
      <c r="P140" s="5">
        <v>2.391</v>
      </c>
      <c r="Q140" s="5">
        <v>3.1819999999999999</v>
      </c>
      <c r="R140" s="5">
        <v>3.2450000000000001</v>
      </c>
      <c r="S140" s="6">
        <f t="shared" si="16"/>
        <v>5.6360000000000001</v>
      </c>
      <c r="T140" s="5">
        <f t="shared" si="18"/>
        <v>8.3170000000000002</v>
      </c>
      <c r="U140" s="5">
        <v>733.33090000000004</v>
      </c>
      <c r="V140" s="5">
        <v>59.2</v>
      </c>
      <c r="W140" s="5">
        <v>6.24</v>
      </c>
      <c r="X140" s="5">
        <f t="shared" si="13"/>
        <v>230.46225644248901</v>
      </c>
      <c r="Y140" s="7">
        <f t="shared" si="14"/>
        <v>2.10220067139127</v>
      </c>
    </row>
    <row r="141" spans="1:28">
      <c r="A141" s="2" t="s">
        <v>26</v>
      </c>
      <c r="B141" s="2">
        <v>2</v>
      </c>
      <c r="C141" s="3">
        <v>220</v>
      </c>
      <c r="D141" s="2" t="s">
        <v>129</v>
      </c>
      <c r="E141" s="5" t="s">
        <v>169</v>
      </c>
      <c r="G141" s="12"/>
      <c r="I141" s="12"/>
      <c r="J141" s="12"/>
      <c r="K141" s="12"/>
      <c r="L141" s="11"/>
      <c r="O141" s="5">
        <v>1.0369999999999999</v>
      </c>
      <c r="P141" s="5">
        <v>1.9450000000000001</v>
      </c>
      <c r="Q141" s="5">
        <v>2.6640000000000001</v>
      </c>
      <c r="R141" s="5">
        <v>2.6970000000000001</v>
      </c>
      <c r="S141" s="6">
        <f t="shared" si="16"/>
        <v>4.6420000000000003</v>
      </c>
      <c r="T141" s="5">
        <f t="shared" si="18"/>
        <v>5.6790000000000003</v>
      </c>
      <c r="U141" s="5">
        <v>574.16319999999996</v>
      </c>
      <c r="V141" s="5">
        <v>48.8</v>
      </c>
      <c r="W141" s="5">
        <v>7.07</v>
      </c>
      <c r="X141" s="5">
        <f t="shared" si="13"/>
        <v>215.52672672672699</v>
      </c>
      <c r="Y141" s="7">
        <f t="shared" si="14"/>
        <v>4.47637415621986</v>
      </c>
    </row>
    <row r="142" spans="1:28">
      <c r="A142" s="2" t="s">
        <v>26</v>
      </c>
      <c r="B142" s="2">
        <v>1</v>
      </c>
      <c r="C142" s="3">
        <v>290</v>
      </c>
      <c r="D142" s="2" t="s">
        <v>129</v>
      </c>
      <c r="E142" s="2" t="s">
        <v>170</v>
      </c>
      <c r="F142" s="11">
        <v>18.366666666666699</v>
      </c>
      <c r="G142" s="11">
        <v>26.9</v>
      </c>
      <c r="H142" s="11">
        <v>624</v>
      </c>
      <c r="I142" s="11">
        <v>866.33333333333303</v>
      </c>
      <c r="J142" s="12">
        <v>6.67</v>
      </c>
      <c r="K142" s="12">
        <f t="shared" si="15"/>
        <v>4.0329835082458798</v>
      </c>
      <c r="L142" s="11">
        <v>88.590354000000005</v>
      </c>
      <c r="M142" s="11">
        <v>196.87812199999999</v>
      </c>
      <c r="N142" s="11">
        <v>1.3301229999999999</v>
      </c>
      <c r="O142" s="5">
        <v>1.3480000000000001</v>
      </c>
      <c r="P142" s="5">
        <v>2.948</v>
      </c>
      <c r="Q142" s="5">
        <v>3.7759999999999998</v>
      </c>
      <c r="R142" s="5">
        <v>3.8370000000000002</v>
      </c>
      <c r="S142" s="6">
        <f t="shared" si="16"/>
        <v>6.7850000000000001</v>
      </c>
      <c r="T142" s="5">
        <f t="shared" si="18"/>
        <v>8.1329999999999991</v>
      </c>
      <c r="U142" s="5">
        <v>1055.6645000000001</v>
      </c>
      <c r="V142" s="5">
        <v>71.8</v>
      </c>
      <c r="W142" s="5">
        <v>6.18</v>
      </c>
      <c r="X142" s="5">
        <f t="shared" si="13"/>
        <v>279.57216631355902</v>
      </c>
      <c r="Y142" s="7">
        <f t="shared" si="14"/>
        <v>5.0333827893175096</v>
      </c>
      <c r="Z142" s="5">
        <v>3.32</v>
      </c>
      <c r="AA142" s="5">
        <v>1.18752880294828</v>
      </c>
      <c r="AB142" s="8">
        <f t="shared" si="17"/>
        <v>33.200000000000003</v>
      </c>
    </row>
    <row r="143" spans="1:28">
      <c r="A143" s="2" t="s">
        <v>26</v>
      </c>
      <c r="B143" s="2">
        <v>1</v>
      </c>
      <c r="C143" s="3">
        <v>290</v>
      </c>
      <c r="D143" s="2" t="s">
        <v>129</v>
      </c>
      <c r="E143" s="2" t="s">
        <v>171</v>
      </c>
      <c r="F143" s="11">
        <v>15.9333333333333</v>
      </c>
      <c r="G143" s="11">
        <v>26.3</v>
      </c>
      <c r="H143" s="11">
        <v>598</v>
      </c>
      <c r="I143" s="11">
        <v>559.66666666666697</v>
      </c>
      <c r="J143" s="12">
        <v>5.9166670000000003</v>
      </c>
      <c r="K143" s="12">
        <f t="shared" si="15"/>
        <v>4.4450701721087196</v>
      </c>
      <c r="L143" s="11">
        <v>83.420180999999999</v>
      </c>
      <c r="M143" s="11">
        <v>224.702777</v>
      </c>
      <c r="N143" s="11">
        <v>2.0877910000000002</v>
      </c>
      <c r="O143" s="5">
        <v>2.8180000000000001</v>
      </c>
      <c r="P143" s="5">
        <v>3.0470000000000002</v>
      </c>
      <c r="Q143" s="5">
        <v>3.6429999999999998</v>
      </c>
      <c r="R143" s="5">
        <v>3.718</v>
      </c>
      <c r="S143" s="6">
        <f t="shared" si="16"/>
        <v>6.7649999999999997</v>
      </c>
      <c r="T143" s="5">
        <f t="shared" si="18"/>
        <v>9.5830000000000002</v>
      </c>
      <c r="U143" s="5">
        <v>826.18100000000004</v>
      </c>
      <c r="V143" s="5">
        <v>69.5</v>
      </c>
      <c r="W143" s="17">
        <v>7.6</v>
      </c>
      <c r="X143" s="5">
        <f t="shared" si="13"/>
        <v>226.78589074938199</v>
      </c>
      <c r="Y143" s="7">
        <f t="shared" si="14"/>
        <v>2.4006387508871501</v>
      </c>
      <c r="Z143" s="5">
        <v>3.31</v>
      </c>
      <c r="AA143" s="5">
        <v>1.4595264233866401</v>
      </c>
      <c r="AB143" s="8">
        <f t="shared" si="17"/>
        <v>33.1</v>
      </c>
    </row>
    <row r="144" spans="1:28">
      <c r="A144" s="2" t="s">
        <v>26</v>
      </c>
      <c r="B144" s="2">
        <v>1</v>
      </c>
      <c r="C144" s="3">
        <v>290</v>
      </c>
      <c r="D144" s="2" t="s">
        <v>129</v>
      </c>
      <c r="E144" s="2" t="s">
        <v>172</v>
      </c>
      <c r="F144" s="11">
        <v>18.566666666666698</v>
      </c>
      <c r="G144" s="11">
        <v>28.4</v>
      </c>
      <c r="H144" s="11">
        <v>594.66666666666697</v>
      </c>
      <c r="I144" s="11">
        <v>640.66666666666697</v>
      </c>
      <c r="J144" s="12">
        <v>6.0766669999999996</v>
      </c>
      <c r="K144" s="12">
        <f t="shared" si="15"/>
        <v>4.6736146640913496</v>
      </c>
      <c r="L144" s="11">
        <v>91.556296000000003</v>
      </c>
      <c r="M144" s="11">
        <v>216.648887</v>
      </c>
      <c r="N144" s="11">
        <v>1.1598930000000001</v>
      </c>
      <c r="O144" s="5">
        <v>2.6150000000000002</v>
      </c>
      <c r="P144" s="5">
        <v>3.7090000000000001</v>
      </c>
      <c r="Q144" s="5">
        <v>4.92</v>
      </c>
      <c r="R144" s="5">
        <v>5.0229999999999997</v>
      </c>
      <c r="S144" s="6">
        <f t="shared" si="16"/>
        <v>8.7319999999999993</v>
      </c>
      <c r="T144" s="5">
        <f t="shared" si="18"/>
        <v>11.347</v>
      </c>
      <c r="U144" s="5">
        <v>1174.3638000000001</v>
      </c>
      <c r="V144" s="5">
        <v>76.2</v>
      </c>
      <c r="W144" s="5">
        <v>7.6</v>
      </c>
      <c r="X144" s="5">
        <f t="shared" si="13"/>
        <v>238.69182926829299</v>
      </c>
      <c r="Y144" s="7">
        <f t="shared" si="14"/>
        <v>3.33919694072658</v>
      </c>
      <c r="Z144" s="5">
        <v>2.66</v>
      </c>
      <c r="AA144" s="5">
        <v>1.1144076477834199</v>
      </c>
      <c r="AB144" s="8">
        <f t="shared" si="17"/>
        <v>26.6</v>
      </c>
    </row>
    <row r="145" spans="1:38">
      <c r="A145" s="2" t="s">
        <v>26</v>
      </c>
      <c r="B145" s="2">
        <v>1</v>
      </c>
      <c r="C145" s="3">
        <v>290</v>
      </c>
      <c r="D145" s="2" t="s">
        <v>129</v>
      </c>
      <c r="E145" s="5" t="s">
        <v>173</v>
      </c>
      <c r="G145" s="12"/>
      <c r="I145" s="12"/>
      <c r="J145" s="12"/>
      <c r="K145" s="12"/>
      <c r="L145" s="11"/>
      <c r="O145" s="5">
        <v>1.3029999999999999</v>
      </c>
      <c r="P145" s="5">
        <v>1.5069999999999999</v>
      </c>
      <c r="Q145" s="5">
        <v>2.8650000000000002</v>
      </c>
      <c r="R145" s="5">
        <v>2.9540000000000002</v>
      </c>
      <c r="S145" s="6">
        <f t="shared" si="16"/>
        <v>4.4610000000000003</v>
      </c>
      <c r="T145" s="5">
        <f t="shared" si="18"/>
        <v>5.7640000000000002</v>
      </c>
      <c r="U145" s="5">
        <v>777.51419999999996</v>
      </c>
      <c r="V145" s="5">
        <v>44.5</v>
      </c>
      <c r="W145" s="5">
        <v>5.64</v>
      </c>
      <c r="X145" s="5">
        <f t="shared" si="13"/>
        <v>271.38366492146599</v>
      </c>
      <c r="Y145" s="7">
        <f t="shared" si="14"/>
        <v>3.4236377590176499</v>
      </c>
    </row>
    <row r="146" spans="1:38">
      <c r="A146" s="2" t="s">
        <v>26</v>
      </c>
      <c r="B146" s="2">
        <v>1</v>
      </c>
      <c r="C146" s="3">
        <v>290</v>
      </c>
      <c r="D146" s="2" t="s">
        <v>129</v>
      </c>
      <c r="E146" s="5" t="s">
        <v>174</v>
      </c>
      <c r="G146" s="12"/>
      <c r="I146" s="12"/>
      <c r="J146" s="12"/>
      <c r="K146" s="12"/>
      <c r="L146" s="11"/>
      <c r="O146" s="5">
        <v>1.5369999999999999</v>
      </c>
      <c r="P146" s="5">
        <v>1.8540000000000001</v>
      </c>
      <c r="Q146" s="5">
        <v>2.8650000000000002</v>
      </c>
      <c r="R146" s="5">
        <v>2.9209999999999998</v>
      </c>
      <c r="S146" s="6">
        <f t="shared" si="16"/>
        <v>4.7750000000000004</v>
      </c>
      <c r="T146" s="5">
        <f t="shared" si="18"/>
        <v>6.3120000000000003</v>
      </c>
      <c r="U146" s="5">
        <v>755.47069999999997</v>
      </c>
      <c r="V146" s="5">
        <v>44</v>
      </c>
      <c r="W146" s="5">
        <v>7.44</v>
      </c>
      <c r="X146" s="5">
        <f t="shared" si="13"/>
        <v>263.68959860383899</v>
      </c>
      <c r="Y146" s="7">
        <f t="shared" si="14"/>
        <v>3.1067013662979801</v>
      </c>
    </row>
    <row r="147" spans="1:38">
      <c r="A147" s="2" t="s">
        <v>26</v>
      </c>
      <c r="B147" s="2">
        <v>2</v>
      </c>
      <c r="C147" s="3">
        <v>290</v>
      </c>
      <c r="D147" s="2" t="s">
        <v>129</v>
      </c>
      <c r="E147" s="2" t="s">
        <v>175</v>
      </c>
      <c r="F147" s="11">
        <v>17.3</v>
      </c>
      <c r="G147" s="11">
        <v>27.1</v>
      </c>
      <c r="H147" s="11">
        <v>569</v>
      </c>
      <c r="I147" s="11">
        <v>416</v>
      </c>
      <c r="J147" s="12">
        <v>5.226667</v>
      </c>
      <c r="K147" s="12">
        <f t="shared" si="15"/>
        <v>5.1849486489190904</v>
      </c>
      <c r="L147" s="11">
        <v>48.553179999999998</v>
      </c>
      <c r="M147" s="11">
        <v>107.693</v>
      </c>
      <c r="N147" s="11">
        <v>1.582813</v>
      </c>
      <c r="O147" s="5">
        <v>3.7549999999999999</v>
      </c>
      <c r="P147" s="5">
        <v>3.766</v>
      </c>
      <c r="Q147" s="5">
        <v>4.9809999999999999</v>
      </c>
      <c r="R147" s="5">
        <v>5.1029999999999998</v>
      </c>
      <c r="S147" s="6">
        <f t="shared" si="16"/>
        <v>8.8689999999999998</v>
      </c>
      <c r="T147" s="5">
        <f t="shared" si="18"/>
        <v>12.624000000000001</v>
      </c>
      <c r="U147" s="5">
        <v>1131.0924</v>
      </c>
      <c r="V147" s="5">
        <v>69.099999999999994</v>
      </c>
      <c r="W147" s="5">
        <v>7.49</v>
      </c>
      <c r="X147" s="5">
        <f t="shared" si="13"/>
        <v>227.081389279261</v>
      </c>
      <c r="Y147" s="7">
        <f t="shared" si="14"/>
        <v>2.3619174434087902</v>
      </c>
      <c r="Z147" s="5">
        <v>2.92</v>
      </c>
      <c r="AA147" s="5">
        <v>1.2858825680377699</v>
      </c>
      <c r="AB147" s="8">
        <f t="shared" si="17"/>
        <v>29.2</v>
      </c>
    </row>
    <row r="148" spans="1:38">
      <c r="A148" s="2" t="s">
        <v>26</v>
      </c>
      <c r="B148" s="2">
        <v>2</v>
      </c>
      <c r="C148" s="3">
        <v>290</v>
      </c>
      <c r="D148" s="2" t="s">
        <v>129</v>
      </c>
      <c r="E148" s="2" t="s">
        <v>176</v>
      </c>
      <c r="F148" s="11">
        <v>16.233333333333299</v>
      </c>
      <c r="G148" s="11">
        <v>23.6666666666667</v>
      </c>
      <c r="H148" s="11">
        <v>640.33333333333303</v>
      </c>
      <c r="I148" s="11">
        <v>915.66666666666697</v>
      </c>
      <c r="J148" s="12">
        <v>6.67</v>
      </c>
      <c r="K148" s="12">
        <f t="shared" si="15"/>
        <v>3.54822588705647</v>
      </c>
      <c r="L148" s="11">
        <v>78.873679999999993</v>
      </c>
      <c r="M148" s="11">
        <v>167.32929999999999</v>
      </c>
      <c r="N148" s="11">
        <v>1.1828510000000001</v>
      </c>
      <c r="O148" s="5">
        <v>3.1539999999999999</v>
      </c>
      <c r="P148" s="5">
        <v>4.4779999999999998</v>
      </c>
      <c r="Q148" s="5">
        <v>5.55</v>
      </c>
      <c r="R148" s="5">
        <v>5.6669999999999998</v>
      </c>
      <c r="S148" s="6">
        <f t="shared" si="16"/>
        <v>10.145</v>
      </c>
      <c r="T148" s="5">
        <f t="shared" si="18"/>
        <v>13.298999999999999</v>
      </c>
      <c r="U148" s="5">
        <v>1323.7438</v>
      </c>
      <c r="V148" s="5">
        <v>71.5</v>
      </c>
      <c r="W148" s="5">
        <v>7.75</v>
      </c>
      <c r="X148" s="5">
        <f t="shared" si="13"/>
        <v>238.51239639639601</v>
      </c>
      <c r="Y148" s="7">
        <f t="shared" si="14"/>
        <v>3.2165504121750201</v>
      </c>
      <c r="Z148" s="5">
        <v>2.6</v>
      </c>
      <c r="AA148" s="5">
        <v>1.0900900914512299</v>
      </c>
      <c r="AB148" s="8">
        <f t="shared" si="17"/>
        <v>26</v>
      </c>
    </row>
    <row r="149" spans="1:38">
      <c r="A149" s="2" t="s">
        <v>26</v>
      </c>
      <c r="B149" s="2">
        <v>2</v>
      </c>
      <c r="C149" s="3">
        <v>290</v>
      </c>
      <c r="D149" s="2" t="s">
        <v>129</v>
      </c>
      <c r="E149" s="2" t="s">
        <v>177</v>
      </c>
      <c r="F149" s="11">
        <v>16.2</v>
      </c>
      <c r="G149" s="11">
        <v>24.766666666666701</v>
      </c>
      <c r="H149" s="11">
        <v>561</v>
      </c>
      <c r="I149" s="11">
        <v>594</v>
      </c>
      <c r="J149" s="12">
        <v>6.1633329999999997</v>
      </c>
      <c r="K149" s="12">
        <f t="shared" si="15"/>
        <v>4.0183885353374</v>
      </c>
      <c r="L149" s="11">
        <v>76.086110000000005</v>
      </c>
      <c r="M149" s="11">
        <v>160.9144</v>
      </c>
      <c r="N149" s="11">
        <v>1.677921</v>
      </c>
      <c r="O149" s="5">
        <v>4.657</v>
      </c>
      <c r="P149" s="5">
        <v>3.5750000000000002</v>
      </c>
      <c r="Q149" s="5">
        <v>5.1349999999999998</v>
      </c>
      <c r="R149" s="5">
        <v>5.2119999999999997</v>
      </c>
      <c r="S149" s="6">
        <f t="shared" si="16"/>
        <v>8.7870000000000008</v>
      </c>
      <c r="T149" s="5">
        <f t="shared" si="18"/>
        <v>13.444000000000001</v>
      </c>
      <c r="U149" s="5">
        <v>965.42650000000003</v>
      </c>
      <c r="V149" s="5">
        <v>72.5</v>
      </c>
      <c r="W149" s="5">
        <v>7.36</v>
      </c>
      <c r="X149" s="5">
        <f t="shared" si="13"/>
        <v>188.00905550146101</v>
      </c>
      <c r="Y149" s="7">
        <f t="shared" si="14"/>
        <v>1.88683701954048</v>
      </c>
      <c r="Z149" s="5">
        <v>2.52</v>
      </c>
      <c r="AA149" s="5">
        <v>1.3403609699961601</v>
      </c>
      <c r="AB149" s="8">
        <f t="shared" si="17"/>
        <v>25.2</v>
      </c>
    </row>
    <row r="150" spans="1:38">
      <c r="A150" s="2" t="s">
        <v>26</v>
      </c>
      <c r="B150" s="2">
        <v>2</v>
      </c>
      <c r="C150" s="3">
        <v>290</v>
      </c>
      <c r="D150" s="2" t="s">
        <v>129</v>
      </c>
      <c r="E150" s="5" t="s">
        <v>178</v>
      </c>
      <c r="G150" s="12"/>
      <c r="I150" s="12"/>
      <c r="J150" s="12"/>
      <c r="K150" s="12"/>
      <c r="L150" s="11"/>
      <c r="O150" s="5">
        <v>2.282</v>
      </c>
      <c r="P150" s="5">
        <v>3.2029999999999998</v>
      </c>
      <c r="Q150" s="5">
        <v>3.6680000000000001</v>
      </c>
      <c r="R150" s="5">
        <v>3.7509999999999999</v>
      </c>
      <c r="S150" s="6">
        <f t="shared" si="16"/>
        <v>6.9539999999999997</v>
      </c>
      <c r="T150" s="5">
        <f t="shared" si="18"/>
        <v>9.2360000000000007</v>
      </c>
      <c r="U150" s="5">
        <v>850.72389999999996</v>
      </c>
      <c r="V150" s="5">
        <v>66.2</v>
      </c>
      <c r="W150" s="5">
        <v>6.66</v>
      </c>
      <c r="X150" s="5">
        <f t="shared" si="13"/>
        <v>231.93127044710999</v>
      </c>
      <c r="Y150" s="7">
        <f t="shared" si="14"/>
        <v>3.0473269062226098</v>
      </c>
    </row>
    <row r="151" spans="1:38">
      <c r="A151" s="2" t="s">
        <v>26</v>
      </c>
      <c r="B151" s="2">
        <v>2</v>
      </c>
      <c r="C151" s="3">
        <v>290</v>
      </c>
      <c r="D151" s="2" t="s">
        <v>129</v>
      </c>
      <c r="E151" s="5" t="s">
        <v>179</v>
      </c>
      <c r="G151" s="12"/>
      <c r="I151" s="12"/>
      <c r="J151" s="12"/>
      <c r="K151" s="12"/>
      <c r="L151" s="11"/>
      <c r="O151" s="5">
        <v>3.903</v>
      </c>
      <c r="P151" s="5">
        <v>2.5790000000000002</v>
      </c>
      <c r="Q151" s="5">
        <v>3.88</v>
      </c>
      <c r="R151" s="5">
        <v>3.9689999999999999</v>
      </c>
      <c r="S151" s="6">
        <f t="shared" si="16"/>
        <v>6.548</v>
      </c>
      <c r="T151" s="5">
        <f t="shared" si="18"/>
        <v>10.451000000000001</v>
      </c>
      <c r="U151" s="5">
        <v>845.85400000000004</v>
      </c>
      <c r="V151" s="5">
        <v>54.5</v>
      </c>
      <c r="W151" s="5">
        <v>7.04</v>
      </c>
      <c r="X151" s="5">
        <f t="shared" si="13"/>
        <v>218.00360824742299</v>
      </c>
      <c r="Y151" s="7">
        <f t="shared" si="14"/>
        <v>1.67768383294901</v>
      </c>
    </row>
    <row r="152" spans="1:38">
      <c r="A152" s="2" t="s">
        <v>78</v>
      </c>
      <c r="B152" s="2">
        <v>1</v>
      </c>
      <c r="C152" s="3">
        <v>10</v>
      </c>
      <c r="D152" s="2" t="s">
        <v>129</v>
      </c>
      <c r="E152" s="2" t="s">
        <v>180</v>
      </c>
      <c r="F152" s="11">
        <v>14.866666666666699</v>
      </c>
      <c r="G152" s="11">
        <v>14.866666666666699</v>
      </c>
      <c r="H152" s="11">
        <v>304.66666666666703</v>
      </c>
      <c r="I152" s="11">
        <v>455</v>
      </c>
      <c r="J152" s="12">
        <v>5.25</v>
      </c>
      <c r="K152" s="12">
        <f t="shared" si="15"/>
        <v>2.8317460317460301</v>
      </c>
      <c r="L152" s="11">
        <v>80.752579999999995</v>
      </c>
      <c r="M152" s="11">
        <v>172.06559999999999</v>
      </c>
      <c r="N152" s="11">
        <v>1.160838</v>
      </c>
      <c r="O152" s="5">
        <v>0.623</v>
      </c>
      <c r="P152" s="5">
        <v>0.126</v>
      </c>
      <c r="Q152" s="5">
        <v>0.216</v>
      </c>
      <c r="R152" s="5">
        <v>0.219</v>
      </c>
      <c r="S152" s="6">
        <f t="shared" si="16"/>
        <v>0.34499999999999997</v>
      </c>
      <c r="T152" s="5">
        <f t="shared" si="18"/>
        <v>0.96799999999999997</v>
      </c>
      <c r="U152" s="5">
        <v>48.367199999999997</v>
      </c>
      <c r="V152" s="5">
        <v>3.5</v>
      </c>
      <c r="W152" s="5">
        <v>3.9</v>
      </c>
      <c r="X152" s="5">
        <f t="shared" si="13"/>
        <v>223.92222222222199</v>
      </c>
      <c r="Y152" s="7">
        <f t="shared" si="14"/>
        <v>0.55377207062600398</v>
      </c>
      <c r="Z152" s="5">
        <v>1.99</v>
      </c>
      <c r="AA152" s="5">
        <v>0.88870143402967305</v>
      </c>
      <c r="AB152" s="8">
        <f t="shared" si="17"/>
        <v>19.899999999999999</v>
      </c>
    </row>
    <row r="153" spans="1:38">
      <c r="A153" s="2" t="s">
        <v>78</v>
      </c>
      <c r="B153" s="2">
        <v>1</v>
      </c>
      <c r="C153" s="3">
        <v>10</v>
      </c>
      <c r="D153" s="2" t="s">
        <v>129</v>
      </c>
      <c r="E153" s="2" t="s">
        <v>181</v>
      </c>
      <c r="F153" s="11">
        <v>13.0666666666667</v>
      </c>
      <c r="G153" s="11">
        <v>13.0666666666667</v>
      </c>
      <c r="H153" s="11">
        <v>306.33333333333297</v>
      </c>
      <c r="I153" s="11">
        <v>383.66666666666703</v>
      </c>
      <c r="J153" s="12">
        <v>4.93</v>
      </c>
      <c r="K153" s="12">
        <f t="shared" si="15"/>
        <v>2.6504394861392799</v>
      </c>
      <c r="L153" s="11">
        <v>81.372349999999997</v>
      </c>
      <c r="M153" s="11">
        <v>190.31780000000001</v>
      </c>
      <c r="N153" s="11">
        <v>2.0641970000000001</v>
      </c>
      <c r="O153" s="5">
        <v>0.69099999999999995</v>
      </c>
      <c r="P153" s="5">
        <v>0.155</v>
      </c>
      <c r="Q153" s="5">
        <v>0.30399999999999999</v>
      </c>
      <c r="R153" s="5">
        <v>0.30599999999999999</v>
      </c>
      <c r="S153" s="6">
        <f t="shared" si="16"/>
        <v>0.46100000000000002</v>
      </c>
      <c r="T153" s="5">
        <f t="shared" si="18"/>
        <v>1.1519999999999999</v>
      </c>
      <c r="U153" s="5">
        <v>48.386099999999999</v>
      </c>
      <c r="V153" s="5">
        <v>3.6</v>
      </c>
      <c r="W153" s="5">
        <v>3.2</v>
      </c>
      <c r="X153" s="5">
        <f t="shared" si="13"/>
        <v>159.16480263157899</v>
      </c>
      <c r="Y153" s="7">
        <f t="shared" si="14"/>
        <v>0.66714905933429802</v>
      </c>
      <c r="Z153" s="5">
        <v>1.22</v>
      </c>
      <c r="AA153" s="5">
        <v>0.76650112325647202</v>
      </c>
      <c r="AB153" s="8">
        <f t="shared" si="17"/>
        <v>12.2</v>
      </c>
    </row>
    <row r="154" spans="1:38">
      <c r="A154" s="2" t="s">
        <v>78</v>
      </c>
      <c r="B154" s="2">
        <v>1</v>
      </c>
      <c r="C154" s="3">
        <v>10</v>
      </c>
      <c r="D154" s="2" t="s">
        <v>129</v>
      </c>
      <c r="E154" s="2" t="s">
        <v>182</v>
      </c>
      <c r="F154" s="11">
        <v>18.399999999999999</v>
      </c>
      <c r="G154" s="11">
        <v>18.399999999999999</v>
      </c>
      <c r="H154" s="11">
        <v>301</v>
      </c>
      <c r="I154" s="11">
        <v>619.66666666666697</v>
      </c>
      <c r="J154" s="12">
        <v>5.476667</v>
      </c>
      <c r="K154" s="12">
        <f t="shared" si="15"/>
        <v>3.3597076470050098</v>
      </c>
      <c r="L154" s="11">
        <v>93.214519999999993</v>
      </c>
      <c r="M154" s="11">
        <v>393.52370000000002</v>
      </c>
      <c r="N154" s="11">
        <v>1.4537040000000001</v>
      </c>
      <c r="O154" s="5">
        <v>1.083</v>
      </c>
      <c r="P154" s="5">
        <v>0.20399999999999999</v>
      </c>
      <c r="Q154" s="5">
        <v>0.312</v>
      </c>
      <c r="R154" s="5">
        <v>0.318</v>
      </c>
      <c r="S154" s="6">
        <f t="shared" si="16"/>
        <v>0.52200000000000002</v>
      </c>
      <c r="T154" s="5">
        <f t="shared" si="18"/>
        <v>1.605</v>
      </c>
      <c r="U154" s="5">
        <v>58.628</v>
      </c>
      <c r="V154" s="5">
        <v>3.8</v>
      </c>
      <c r="W154" s="5">
        <v>4.01</v>
      </c>
      <c r="X154" s="5">
        <f t="shared" si="13"/>
        <v>187.91025641025601</v>
      </c>
      <c r="Y154" s="7">
        <f t="shared" si="14"/>
        <v>0.48199445983379502</v>
      </c>
      <c r="Z154" s="5">
        <v>2.16</v>
      </c>
      <c r="AA154" s="5">
        <v>1.1494848877669399</v>
      </c>
      <c r="AB154" s="8">
        <f t="shared" si="17"/>
        <v>21.6</v>
      </c>
      <c r="AK154" s="5"/>
      <c r="AL154" s="5"/>
    </row>
    <row r="155" spans="1:38">
      <c r="A155" s="2" t="s">
        <v>78</v>
      </c>
      <c r="B155" s="2">
        <v>1</v>
      </c>
      <c r="C155" s="3">
        <v>10</v>
      </c>
      <c r="D155" s="2" t="s">
        <v>129</v>
      </c>
      <c r="E155" s="5" t="s">
        <v>183</v>
      </c>
      <c r="G155" s="12"/>
      <c r="I155" s="12"/>
      <c r="J155" s="12"/>
      <c r="K155" s="12"/>
      <c r="L155" s="11"/>
      <c r="O155" s="5">
        <v>0.42499999999999999</v>
      </c>
      <c r="P155" s="5">
        <v>6.8000000000000102E-2</v>
      </c>
      <c r="Q155" s="5">
        <v>0.17499999999999999</v>
      </c>
      <c r="R155" s="5">
        <v>0.17799999999999999</v>
      </c>
      <c r="S155" s="6">
        <f t="shared" si="16"/>
        <v>0.246</v>
      </c>
      <c r="T155" s="5">
        <f t="shared" si="18"/>
        <v>0.67100000000000004</v>
      </c>
      <c r="U155" s="5">
        <v>38.4833</v>
      </c>
      <c r="V155" s="5">
        <v>2.5</v>
      </c>
      <c r="W155" s="5">
        <v>2.57</v>
      </c>
      <c r="X155" s="5">
        <f t="shared" si="13"/>
        <v>219.90457142857099</v>
      </c>
      <c r="Y155" s="7">
        <f t="shared" si="14"/>
        <v>0.57882352941176496</v>
      </c>
      <c r="AK155" s="5"/>
      <c r="AL155" s="5"/>
    </row>
    <row r="156" spans="1:38">
      <c r="A156" s="2" t="s">
        <v>78</v>
      </c>
      <c r="B156" s="2">
        <v>1</v>
      </c>
      <c r="C156" s="3">
        <v>10</v>
      </c>
      <c r="D156" s="2" t="s">
        <v>129</v>
      </c>
      <c r="E156" s="5" t="s">
        <v>184</v>
      </c>
      <c r="G156" s="12"/>
      <c r="I156" s="12"/>
      <c r="J156" s="12"/>
      <c r="K156" s="12"/>
      <c r="L156" s="11"/>
      <c r="O156" s="5">
        <v>0.54900000000000004</v>
      </c>
      <c r="P156" s="5">
        <v>0.11700000000000001</v>
      </c>
      <c r="Q156" s="5">
        <v>0.28299999999999997</v>
      </c>
      <c r="R156" s="5">
        <v>0.28299999999999997</v>
      </c>
      <c r="S156" s="6">
        <f t="shared" si="16"/>
        <v>0.4</v>
      </c>
      <c r="T156" s="5">
        <f t="shared" si="18"/>
        <v>0.94899999999999995</v>
      </c>
      <c r="U156" s="5">
        <v>51.827100000000002</v>
      </c>
      <c r="V156" s="5">
        <v>2.6</v>
      </c>
      <c r="W156" s="5">
        <v>3.37</v>
      </c>
      <c r="X156" s="5">
        <f t="shared" si="13"/>
        <v>183.134628975265</v>
      </c>
      <c r="Y156" s="7">
        <f t="shared" si="14"/>
        <v>0.72859744990892505</v>
      </c>
      <c r="AK156" s="5"/>
      <c r="AL156" s="5"/>
    </row>
    <row r="157" spans="1:38">
      <c r="A157" s="2" t="s">
        <v>78</v>
      </c>
      <c r="B157" s="2">
        <v>2</v>
      </c>
      <c r="C157" s="3">
        <v>10</v>
      </c>
      <c r="D157" s="2" t="s">
        <v>129</v>
      </c>
      <c r="E157" s="2" t="s">
        <v>185</v>
      </c>
      <c r="F157" s="11">
        <v>13.466666666666701</v>
      </c>
      <c r="G157" s="11">
        <v>13.466666666666701</v>
      </c>
      <c r="H157" s="11">
        <v>324</v>
      </c>
      <c r="I157" s="11">
        <v>582.66666666666697</v>
      </c>
      <c r="J157" s="12">
        <v>5.5333329999999998</v>
      </c>
      <c r="K157" s="12">
        <f t="shared" si="15"/>
        <v>2.4337350863695799</v>
      </c>
      <c r="L157" s="11">
        <v>68.910290000000003</v>
      </c>
      <c r="M157" s="11">
        <v>139.3604</v>
      </c>
      <c r="N157" s="11">
        <v>1.6562269999999999</v>
      </c>
      <c r="O157" s="5">
        <v>0.57499999999999996</v>
      </c>
      <c r="P157" s="5">
        <v>8.8999999999999996E-2</v>
      </c>
      <c r="Q157" s="5">
        <v>0.4</v>
      </c>
      <c r="R157" s="5">
        <v>0.4</v>
      </c>
      <c r="S157" s="6">
        <f t="shared" si="16"/>
        <v>0.48899999999999999</v>
      </c>
      <c r="T157" s="5">
        <f t="shared" si="18"/>
        <v>1.0640000000000001</v>
      </c>
      <c r="U157" s="5">
        <v>60.114800000000002</v>
      </c>
      <c r="V157" s="5">
        <v>3</v>
      </c>
      <c r="W157" s="5">
        <v>3.42</v>
      </c>
      <c r="X157" s="5">
        <f t="shared" si="13"/>
        <v>150.28700000000001</v>
      </c>
      <c r="Y157" s="7">
        <f t="shared" si="14"/>
        <v>0.85043478260869498</v>
      </c>
      <c r="Z157" s="5">
        <v>1.0900000000000001</v>
      </c>
      <c r="AA157" s="5">
        <v>0.72527896624458499</v>
      </c>
      <c r="AB157" s="8">
        <f t="shared" si="17"/>
        <v>10.9</v>
      </c>
    </row>
    <row r="158" spans="1:38">
      <c r="A158" s="2" t="s">
        <v>78</v>
      </c>
      <c r="B158" s="2">
        <v>2</v>
      </c>
      <c r="C158" s="3">
        <v>10</v>
      </c>
      <c r="D158" s="2" t="s">
        <v>129</v>
      </c>
      <c r="E158" s="2" t="s">
        <v>186</v>
      </c>
      <c r="F158" s="12">
        <v>20.266670000000001</v>
      </c>
      <c r="G158" s="12">
        <v>20.266670000000001</v>
      </c>
      <c r="H158" s="12">
        <v>307.33330000000001</v>
      </c>
      <c r="I158" s="12">
        <v>884.66669999999999</v>
      </c>
      <c r="J158" s="12">
        <v>6.2133330000000004</v>
      </c>
      <c r="K158" s="12">
        <f t="shared" si="15"/>
        <v>3.2618032865774298</v>
      </c>
      <c r="L158" s="26">
        <v>107.836663</v>
      </c>
      <c r="M158" s="26">
        <v>320.56278700000001</v>
      </c>
      <c r="N158" s="26">
        <v>1.984896</v>
      </c>
      <c r="O158" s="5">
        <v>0.87</v>
      </c>
      <c r="P158" s="5">
        <v>0.16800000000000001</v>
      </c>
      <c r="Q158" s="5">
        <v>0.371</v>
      </c>
      <c r="R158" s="5">
        <v>0.371</v>
      </c>
      <c r="S158" s="6">
        <f t="shared" si="16"/>
        <v>0.53900000000000003</v>
      </c>
      <c r="T158" s="5">
        <f t="shared" si="18"/>
        <v>1.409</v>
      </c>
      <c r="U158" s="5">
        <v>54.931699999999999</v>
      </c>
      <c r="V158" s="5">
        <v>3.9</v>
      </c>
      <c r="W158" s="5">
        <v>3.72</v>
      </c>
      <c r="X158" s="5">
        <f t="shared" si="13"/>
        <v>148.06388140161701</v>
      </c>
      <c r="Y158" s="7">
        <f t="shared" si="14"/>
        <v>0.61954022988505797</v>
      </c>
      <c r="Z158" s="5">
        <v>2.71</v>
      </c>
      <c r="AA158" s="5">
        <v>1.8302910705476101</v>
      </c>
      <c r="AB158" s="8">
        <f t="shared" si="17"/>
        <v>27.1</v>
      </c>
    </row>
    <row r="159" spans="1:38">
      <c r="A159" s="2" t="s">
        <v>78</v>
      </c>
      <c r="B159" s="2">
        <v>2</v>
      </c>
      <c r="C159" s="3">
        <v>10</v>
      </c>
      <c r="D159" s="2" t="s">
        <v>129</v>
      </c>
      <c r="E159" s="2" t="s">
        <v>187</v>
      </c>
      <c r="F159" s="11">
        <v>19.3</v>
      </c>
      <c r="G159" s="11">
        <v>19.3</v>
      </c>
      <c r="H159" s="11">
        <v>315.66666666666703</v>
      </c>
      <c r="I159" s="11">
        <v>1013</v>
      </c>
      <c r="J159" s="12">
        <v>6.1133329999999999</v>
      </c>
      <c r="K159" s="12">
        <f t="shared" si="15"/>
        <v>3.1570339780280201</v>
      </c>
      <c r="L159" s="11">
        <v>94.912319999999994</v>
      </c>
      <c r="M159" s="11">
        <v>294.61369999999999</v>
      </c>
      <c r="N159" s="11">
        <v>2.075196</v>
      </c>
      <c r="O159" s="5">
        <v>1.119</v>
      </c>
      <c r="P159" s="5">
        <v>0.13100000000000001</v>
      </c>
      <c r="Q159" s="5">
        <v>0.35699999999999998</v>
      </c>
      <c r="R159" s="5">
        <v>0.35699999999999998</v>
      </c>
      <c r="S159" s="6">
        <f t="shared" si="16"/>
        <v>0.48799999999999999</v>
      </c>
      <c r="T159" s="5">
        <f t="shared" si="18"/>
        <v>1.607</v>
      </c>
      <c r="U159" s="5">
        <v>64.863600000000005</v>
      </c>
      <c r="V159" s="5">
        <v>4.3</v>
      </c>
      <c r="W159" s="5">
        <v>3.52</v>
      </c>
      <c r="X159" s="5">
        <f t="shared" si="13"/>
        <v>181.69075630252101</v>
      </c>
      <c r="Y159" s="7">
        <f t="shared" si="14"/>
        <v>0.43610366398570199</v>
      </c>
      <c r="Z159" s="5">
        <v>1.72</v>
      </c>
      <c r="AA159" s="5">
        <v>0.94666345993746803</v>
      </c>
      <c r="AB159" s="8">
        <f t="shared" si="17"/>
        <v>17.2</v>
      </c>
    </row>
    <row r="160" spans="1:38">
      <c r="A160" s="2" t="s">
        <v>78</v>
      </c>
      <c r="B160" s="2">
        <v>2</v>
      </c>
      <c r="C160" s="3">
        <v>10</v>
      </c>
      <c r="D160" s="2" t="s">
        <v>129</v>
      </c>
      <c r="E160" s="5" t="s">
        <v>188</v>
      </c>
      <c r="G160" s="12"/>
      <c r="I160" s="12"/>
      <c r="J160" s="12"/>
      <c r="K160" s="12"/>
      <c r="L160" s="11"/>
      <c r="O160" s="5">
        <v>0.51600000000000001</v>
      </c>
      <c r="P160" s="5">
        <v>9.9000000000000005E-2</v>
      </c>
      <c r="Q160" s="5">
        <v>0.30599999999999999</v>
      </c>
      <c r="R160" s="5">
        <v>0.30599999999999999</v>
      </c>
      <c r="S160" s="6">
        <f t="shared" si="16"/>
        <v>0.40500000000000003</v>
      </c>
      <c r="T160" s="5">
        <f t="shared" si="18"/>
        <v>0.92100000000000004</v>
      </c>
      <c r="U160" s="5">
        <v>67.226799999999997</v>
      </c>
      <c r="V160" s="5">
        <v>3.5</v>
      </c>
      <c r="W160" s="5">
        <v>3.19</v>
      </c>
      <c r="X160" s="5">
        <f t="shared" si="13"/>
        <v>219.69542483660101</v>
      </c>
      <c r="Y160" s="7">
        <f t="shared" si="14"/>
        <v>0.78488372093023295</v>
      </c>
    </row>
    <row r="161" spans="1:37">
      <c r="A161" s="2" t="s">
        <v>78</v>
      </c>
      <c r="B161" s="2">
        <v>2</v>
      </c>
      <c r="C161" s="3">
        <v>10</v>
      </c>
      <c r="D161" s="2" t="s">
        <v>129</v>
      </c>
      <c r="E161" s="5" t="s">
        <v>189</v>
      </c>
      <c r="G161" s="12"/>
      <c r="I161" s="12"/>
      <c r="J161" s="12"/>
      <c r="K161" s="12"/>
      <c r="O161" s="5">
        <v>0.434</v>
      </c>
      <c r="P161" s="5">
        <v>0.11600000000000001</v>
      </c>
      <c r="Q161" s="5">
        <v>0.40200000000000002</v>
      </c>
      <c r="R161" s="5">
        <v>0.40200000000000002</v>
      </c>
      <c r="S161" s="6">
        <f t="shared" si="16"/>
        <v>0.51800000000000002</v>
      </c>
      <c r="T161" s="5">
        <f t="shared" si="18"/>
        <v>0.95199999999999996</v>
      </c>
      <c r="U161" s="5">
        <v>73.155100000000004</v>
      </c>
      <c r="V161" s="5">
        <v>6.5</v>
      </c>
      <c r="W161" s="5">
        <v>2.79</v>
      </c>
      <c r="X161" s="5">
        <f t="shared" si="13"/>
        <v>181.97786069651701</v>
      </c>
      <c r="Y161" s="7">
        <f t="shared" si="14"/>
        <v>1.19354838709677</v>
      </c>
    </row>
    <row r="162" spans="1:37">
      <c r="A162" s="2" t="s">
        <v>78</v>
      </c>
      <c r="B162" s="2">
        <v>1</v>
      </c>
      <c r="C162" s="3">
        <v>80</v>
      </c>
      <c r="D162" s="2" t="s">
        <v>129</v>
      </c>
      <c r="E162" s="2" t="s">
        <v>190</v>
      </c>
      <c r="F162" s="11">
        <v>19.966666666666701</v>
      </c>
      <c r="G162" s="11">
        <v>19.966666666666701</v>
      </c>
      <c r="H162" s="11">
        <v>304.33333333333297</v>
      </c>
      <c r="I162" s="11">
        <v>704.66666666666697</v>
      </c>
      <c r="J162" s="12">
        <v>5.5933330000000003</v>
      </c>
      <c r="K162" s="12">
        <f t="shared" si="15"/>
        <v>3.5697260768609098</v>
      </c>
      <c r="L162" s="22">
        <v>102.61712799999999</v>
      </c>
      <c r="M162" s="27">
        <v>427.719493</v>
      </c>
      <c r="N162" s="26">
        <v>1.833615</v>
      </c>
      <c r="O162" s="5">
        <v>1.1819999999999999</v>
      </c>
      <c r="P162" s="5">
        <v>0.252</v>
      </c>
      <c r="Q162" s="5">
        <v>0.63400000000000001</v>
      </c>
      <c r="R162" s="5">
        <v>0.64100000000000001</v>
      </c>
      <c r="S162" s="6">
        <f t="shared" si="16"/>
        <v>0.89300000000000002</v>
      </c>
      <c r="T162" s="5">
        <f t="shared" si="18"/>
        <v>2.0750000000000002</v>
      </c>
      <c r="U162" s="5">
        <v>97.003299999999996</v>
      </c>
      <c r="V162" s="5">
        <v>3.9</v>
      </c>
      <c r="W162" s="5">
        <v>4.42</v>
      </c>
      <c r="X162" s="5">
        <f t="shared" si="13"/>
        <v>153.00205047318599</v>
      </c>
      <c r="Y162" s="7">
        <f t="shared" si="14"/>
        <v>0.75549915397631096</v>
      </c>
      <c r="Z162" s="5">
        <v>2.48</v>
      </c>
      <c r="AA162" s="5">
        <v>1.6208933098152301</v>
      </c>
      <c r="AB162" s="8">
        <f t="shared" si="17"/>
        <v>24.8</v>
      </c>
    </row>
    <row r="163" spans="1:37">
      <c r="A163" s="2" t="s">
        <v>78</v>
      </c>
      <c r="B163" s="2">
        <v>1</v>
      </c>
      <c r="C163" s="3">
        <v>80</v>
      </c>
      <c r="D163" s="2" t="s">
        <v>129</v>
      </c>
      <c r="E163" s="2" t="s">
        <v>191</v>
      </c>
      <c r="F163" s="11">
        <v>21.966666666666701</v>
      </c>
      <c r="G163" s="11">
        <v>21.966666666666701</v>
      </c>
      <c r="H163" s="11">
        <v>316.33333333333297</v>
      </c>
      <c r="I163" s="11">
        <v>1208.6666666666699</v>
      </c>
      <c r="J163" s="12">
        <v>5.8366670000000003</v>
      </c>
      <c r="K163" s="12">
        <f t="shared" si="15"/>
        <v>3.7635634629603998</v>
      </c>
      <c r="L163" s="28">
        <v>98.176649999999995</v>
      </c>
      <c r="M163" s="11">
        <v>472.69749999999999</v>
      </c>
      <c r="N163" s="11">
        <v>0.88771699999999998</v>
      </c>
      <c r="O163" s="5">
        <v>1.0489999999999999</v>
      </c>
      <c r="P163" s="5">
        <v>0.34</v>
      </c>
      <c r="Q163" s="5">
        <v>0.88800000000000001</v>
      </c>
      <c r="R163" s="5">
        <v>0.90100000000000002</v>
      </c>
      <c r="S163" s="6">
        <f t="shared" si="16"/>
        <v>1.2410000000000001</v>
      </c>
      <c r="T163" s="5">
        <f t="shared" si="18"/>
        <v>2.29</v>
      </c>
      <c r="U163" s="5">
        <v>192.4872</v>
      </c>
      <c r="V163" s="5">
        <v>5.4</v>
      </c>
      <c r="W163" s="5">
        <v>5.12</v>
      </c>
      <c r="X163" s="5">
        <f t="shared" si="13"/>
        <v>216.76486486486499</v>
      </c>
      <c r="Y163" s="7">
        <f t="shared" si="14"/>
        <v>1.1830314585319399</v>
      </c>
      <c r="Z163" s="5">
        <v>3.51</v>
      </c>
      <c r="AA163" s="5">
        <v>1.6192661122401899</v>
      </c>
      <c r="AB163" s="8">
        <f t="shared" si="17"/>
        <v>35.1</v>
      </c>
    </row>
    <row r="164" spans="1:37">
      <c r="A164" s="2" t="s">
        <v>78</v>
      </c>
      <c r="B164" s="2">
        <v>1</v>
      </c>
      <c r="C164" s="3">
        <v>80</v>
      </c>
      <c r="D164" s="2" t="s">
        <v>129</v>
      </c>
      <c r="E164" s="2" t="s">
        <v>192</v>
      </c>
      <c r="F164" s="11">
        <v>20.633333333333301</v>
      </c>
      <c r="G164" s="11">
        <v>20.633333333333301</v>
      </c>
      <c r="H164" s="11">
        <v>317.66666666666703</v>
      </c>
      <c r="I164" s="11">
        <v>1090.6666666666699</v>
      </c>
      <c r="J164" s="12">
        <v>6.0933330000000003</v>
      </c>
      <c r="K164" s="12">
        <f t="shared" si="15"/>
        <v>3.3862146272546298</v>
      </c>
      <c r="L164" s="22">
        <v>99.72936</v>
      </c>
      <c r="M164" s="26">
        <v>440.02971200000002</v>
      </c>
      <c r="N164" s="26">
        <v>1.673546</v>
      </c>
      <c r="O164" s="5">
        <v>0.95799999999999996</v>
      </c>
      <c r="P164" s="5">
        <v>0.19</v>
      </c>
      <c r="Q164" s="5">
        <v>0.48699999999999999</v>
      </c>
      <c r="R164" s="5">
        <v>0.49199999999999999</v>
      </c>
      <c r="S164" s="6">
        <f t="shared" si="16"/>
        <v>0.68200000000000005</v>
      </c>
      <c r="T164" s="5">
        <f t="shared" si="18"/>
        <v>1.64</v>
      </c>
      <c r="U164" s="5">
        <v>69.360799999999998</v>
      </c>
      <c r="V164" s="5">
        <v>2.7</v>
      </c>
      <c r="W164" s="5">
        <v>3.6</v>
      </c>
      <c r="X164" s="5">
        <f t="shared" si="13"/>
        <v>142.42464065708401</v>
      </c>
      <c r="Y164" s="7">
        <f t="shared" si="14"/>
        <v>0.71189979123173297</v>
      </c>
      <c r="Z164" s="5">
        <v>3.13</v>
      </c>
      <c r="AA164" s="5">
        <v>2.19765342960289</v>
      </c>
      <c r="AB164" s="8">
        <f t="shared" si="17"/>
        <v>31.3</v>
      </c>
    </row>
    <row r="165" spans="1:37">
      <c r="A165" s="2" t="s">
        <v>78</v>
      </c>
      <c r="B165" s="2">
        <v>1</v>
      </c>
      <c r="C165" s="3">
        <v>80</v>
      </c>
      <c r="D165" s="2" t="s">
        <v>129</v>
      </c>
      <c r="E165" s="5" t="s">
        <v>193</v>
      </c>
      <c r="G165" s="12"/>
      <c r="I165" s="12"/>
      <c r="J165" s="12"/>
      <c r="K165" s="12"/>
      <c r="O165" s="5">
        <v>0.79600000000000004</v>
      </c>
      <c r="P165" s="5">
        <v>0.106</v>
      </c>
      <c r="Q165" s="5">
        <v>0.377</v>
      </c>
      <c r="R165" s="5">
        <v>0.377</v>
      </c>
      <c r="S165" s="6">
        <f t="shared" si="16"/>
        <v>0.48299999999999998</v>
      </c>
      <c r="T165" s="5">
        <f t="shared" si="18"/>
        <v>1.2789999999999999</v>
      </c>
      <c r="U165" s="5">
        <v>56.561700000000002</v>
      </c>
      <c r="V165" s="5">
        <v>1.3</v>
      </c>
      <c r="W165" s="5">
        <v>3.45</v>
      </c>
      <c r="X165" s="5">
        <f t="shared" si="13"/>
        <v>150.031034482759</v>
      </c>
      <c r="Y165" s="7">
        <f t="shared" si="14"/>
        <v>0.60678391959799005</v>
      </c>
    </row>
    <row r="166" spans="1:37">
      <c r="A166" s="2" t="s">
        <v>78</v>
      </c>
      <c r="B166" s="2">
        <v>1</v>
      </c>
      <c r="C166" s="3">
        <v>80</v>
      </c>
      <c r="D166" s="2" t="s">
        <v>129</v>
      </c>
      <c r="E166" s="5" t="s">
        <v>194</v>
      </c>
      <c r="G166" s="12"/>
      <c r="I166" s="12"/>
      <c r="J166" s="12"/>
      <c r="K166" s="12"/>
      <c r="L166" s="11"/>
      <c r="O166" s="5">
        <v>0.80200000000000005</v>
      </c>
      <c r="P166" s="5">
        <v>0.13</v>
      </c>
      <c r="Q166" s="5">
        <v>0.308</v>
      </c>
      <c r="R166" s="5">
        <v>0.312</v>
      </c>
      <c r="S166" s="6">
        <f t="shared" si="16"/>
        <v>0.442</v>
      </c>
      <c r="T166" s="5">
        <f t="shared" si="18"/>
        <v>1.244</v>
      </c>
      <c r="U166" s="5">
        <v>58.316499999999998</v>
      </c>
      <c r="V166" s="5">
        <v>3.3</v>
      </c>
      <c r="W166" s="5">
        <v>2.6</v>
      </c>
      <c r="X166" s="5">
        <f t="shared" si="13"/>
        <v>189.33928571428601</v>
      </c>
      <c r="Y166" s="7">
        <f t="shared" si="14"/>
        <v>0.55112219451371602</v>
      </c>
    </row>
    <row r="167" spans="1:37">
      <c r="A167" s="2" t="s">
        <v>78</v>
      </c>
      <c r="B167" s="2">
        <v>2</v>
      </c>
      <c r="C167" s="3">
        <v>80</v>
      </c>
      <c r="D167" s="2" t="s">
        <v>129</v>
      </c>
      <c r="E167" s="2" t="s">
        <v>195</v>
      </c>
      <c r="F167" s="11">
        <v>21.566666666666698</v>
      </c>
      <c r="G167" s="11">
        <v>21.566666666666698</v>
      </c>
      <c r="H167" s="11">
        <v>322</v>
      </c>
      <c r="I167" s="11">
        <v>1436.6666666666699</v>
      </c>
      <c r="J167" s="12">
        <v>6.1133329999999999</v>
      </c>
      <c r="K167" s="12">
        <f t="shared" si="15"/>
        <v>3.5278082621487599</v>
      </c>
      <c r="L167" s="11">
        <v>99.16019</v>
      </c>
      <c r="M167" s="11">
        <v>334.3021</v>
      </c>
      <c r="N167" s="11">
        <v>1.4506889999999999</v>
      </c>
      <c r="O167" s="5">
        <v>1.3049999999999999</v>
      </c>
      <c r="P167" s="5">
        <v>0.32700000000000001</v>
      </c>
      <c r="Q167" s="5">
        <v>0.97599999999999998</v>
      </c>
      <c r="R167" s="5">
        <v>0.97599999999999998</v>
      </c>
      <c r="S167" s="6">
        <f t="shared" si="16"/>
        <v>1.3029999999999999</v>
      </c>
      <c r="T167" s="5">
        <f t="shared" si="18"/>
        <v>2.6080000000000001</v>
      </c>
      <c r="U167" s="5">
        <v>230.8338</v>
      </c>
      <c r="V167" s="5">
        <v>6.3</v>
      </c>
      <c r="W167" s="5">
        <v>4.49</v>
      </c>
      <c r="X167" s="5">
        <f t="shared" si="13"/>
        <v>236.51004098360701</v>
      </c>
      <c r="Y167" s="7">
        <f t="shared" si="14"/>
        <v>0.99846743295019202</v>
      </c>
      <c r="Z167" s="5">
        <v>2.74</v>
      </c>
      <c r="AA167" s="5">
        <v>1.1585131813451901</v>
      </c>
      <c r="AB167" s="8">
        <f t="shared" ref="AB167:AB199" si="19">Z167*10</f>
        <v>27.4</v>
      </c>
    </row>
    <row r="168" spans="1:37">
      <c r="A168" s="2" t="s">
        <v>78</v>
      </c>
      <c r="B168" s="2">
        <v>2</v>
      </c>
      <c r="C168" s="3">
        <v>80</v>
      </c>
      <c r="D168" s="2" t="s">
        <v>129</v>
      </c>
      <c r="E168" s="2" t="s">
        <v>196</v>
      </c>
      <c r="F168" s="11">
        <v>17.866666666666699</v>
      </c>
      <c r="G168" s="11">
        <v>17.866666666666699</v>
      </c>
      <c r="H168" s="11">
        <v>312.33333333333297</v>
      </c>
      <c r="I168" s="11">
        <v>680.33333333333303</v>
      </c>
      <c r="J168" s="12">
        <v>6.2033329999999998</v>
      </c>
      <c r="K168" s="12">
        <f t="shared" si="15"/>
        <v>2.8801721053289699</v>
      </c>
      <c r="L168" s="11">
        <v>100.3168</v>
      </c>
      <c r="M168" s="11">
        <v>279.36169999999998</v>
      </c>
      <c r="N168" s="11">
        <v>1.736969</v>
      </c>
      <c r="O168" s="5">
        <v>1.3919999999999999</v>
      </c>
      <c r="P168" s="5">
        <v>0.42199999999999999</v>
      </c>
      <c r="Q168" s="5">
        <v>1.1080000000000001</v>
      </c>
      <c r="R168" s="5">
        <v>1.1080000000000001</v>
      </c>
      <c r="S168" s="6">
        <f t="shared" si="16"/>
        <v>1.53</v>
      </c>
      <c r="T168" s="5">
        <f t="shared" si="18"/>
        <v>2.9220000000000002</v>
      </c>
      <c r="U168" s="5">
        <v>259.58769999999998</v>
      </c>
      <c r="V168" s="5">
        <v>8.5</v>
      </c>
      <c r="W168" s="5">
        <v>4.72</v>
      </c>
      <c r="X168" s="5">
        <f t="shared" si="13"/>
        <v>234.284927797834</v>
      </c>
      <c r="Y168" s="7">
        <f t="shared" si="14"/>
        <v>1.09913793103448</v>
      </c>
      <c r="Z168" s="5">
        <v>2.15</v>
      </c>
      <c r="AA168" s="5">
        <v>0.91768600746491502</v>
      </c>
      <c r="AB168" s="8">
        <f t="shared" si="19"/>
        <v>21.5</v>
      </c>
    </row>
    <row r="169" spans="1:37">
      <c r="A169" s="2" t="s">
        <v>78</v>
      </c>
      <c r="B169" s="2">
        <v>2</v>
      </c>
      <c r="C169" s="3">
        <v>80</v>
      </c>
      <c r="D169" s="2" t="s">
        <v>129</v>
      </c>
      <c r="E169" s="2" t="s">
        <v>197</v>
      </c>
      <c r="F169" s="11">
        <v>18.133333333333301</v>
      </c>
      <c r="G169" s="11">
        <v>18.133333333333301</v>
      </c>
      <c r="H169" s="11">
        <v>318.66666666666703</v>
      </c>
      <c r="I169" s="11">
        <v>783.33333333333303</v>
      </c>
      <c r="J169" s="12">
        <v>5.93</v>
      </c>
      <c r="K169" s="12">
        <f t="shared" si="15"/>
        <v>3.0578976953344599</v>
      </c>
      <c r="L169" s="11">
        <v>91.597070000000002</v>
      </c>
      <c r="M169" s="11">
        <v>288.15289999999999</v>
      </c>
      <c r="N169" s="11">
        <v>2.0474600000000001</v>
      </c>
      <c r="O169" s="5">
        <v>1.8560000000000001</v>
      </c>
      <c r="P169" s="5">
        <v>0.94</v>
      </c>
      <c r="Q169" s="5">
        <v>1.8080000000000001</v>
      </c>
      <c r="R169" s="5">
        <v>1.8320000000000001</v>
      </c>
      <c r="S169" s="6">
        <f t="shared" si="16"/>
        <v>2.7719999999999998</v>
      </c>
      <c r="T169" s="5">
        <f t="shared" si="18"/>
        <v>4.6280000000000001</v>
      </c>
      <c r="U169" s="5">
        <v>406.67200000000003</v>
      </c>
      <c r="V169" s="5">
        <v>23.6</v>
      </c>
      <c r="W169" s="5">
        <v>6.43</v>
      </c>
      <c r="X169" s="5">
        <f t="shared" si="13"/>
        <v>224.92920353982299</v>
      </c>
      <c r="Y169" s="7">
        <f t="shared" si="14"/>
        <v>1.4935344827586201</v>
      </c>
      <c r="Z169" s="5">
        <v>2.23</v>
      </c>
      <c r="AA169" s="5">
        <v>0.99142306330408803</v>
      </c>
      <c r="AB169" s="8">
        <f t="shared" si="19"/>
        <v>22.3</v>
      </c>
      <c r="AK169" s="5"/>
    </row>
    <row r="170" spans="1:37">
      <c r="A170" s="2" t="s">
        <v>78</v>
      </c>
      <c r="B170" s="2">
        <v>2</v>
      </c>
      <c r="C170" s="3">
        <v>80</v>
      </c>
      <c r="D170" s="2" t="s">
        <v>129</v>
      </c>
      <c r="E170" s="5" t="s">
        <v>198</v>
      </c>
      <c r="G170" s="12"/>
      <c r="I170" s="12"/>
      <c r="J170" s="12"/>
      <c r="K170" s="12"/>
      <c r="O170" s="5">
        <v>1.1779999999999999</v>
      </c>
      <c r="P170" s="5">
        <v>0.30399999999999999</v>
      </c>
      <c r="Q170" s="5">
        <v>0.68799999999999994</v>
      </c>
      <c r="R170" s="5">
        <v>0.68799999999999994</v>
      </c>
      <c r="S170" s="6">
        <f t="shared" si="16"/>
        <v>0.99199999999999999</v>
      </c>
      <c r="T170" s="5">
        <f t="shared" si="18"/>
        <v>2.17</v>
      </c>
      <c r="U170" s="5">
        <v>119.8361</v>
      </c>
      <c r="V170" s="5">
        <v>4.8</v>
      </c>
      <c r="W170" s="5">
        <v>4.47</v>
      </c>
      <c r="X170" s="5">
        <f t="shared" si="13"/>
        <v>174.18037790697699</v>
      </c>
      <c r="Y170" s="7">
        <f t="shared" si="14"/>
        <v>0.84210526315789502</v>
      </c>
      <c r="AK170" s="5"/>
    </row>
    <row r="171" spans="1:37">
      <c r="A171" s="2" t="s">
        <v>78</v>
      </c>
      <c r="B171" s="2">
        <v>2</v>
      </c>
      <c r="C171" s="3">
        <v>80</v>
      </c>
      <c r="D171" s="2" t="s">
        <v>129</v>
      </c>
      <c r="E171" s="5" t="s">
        <v>199</v>
      </c>
      <c r="G171" s="12"/>
      <c r="I171" s="12"/>
      <c r="J171" s="12"/>
      <c r="K171" s="12"/>
      <c r="O171" s="5">
        <v>0.76500000000000001</v>
      </c>
      <c r="P171" s="5">
        <v>0.311</v>
      </c>
      <c r="Q171" s="5">
        <v>0.97799999999999998</v>
      </c>
      <c r="R171" s="5">
        <v>0.97799999999999998</v>
      </c>
      <c r="S171" s="6">
        <f t="shared" si="16"/>
        <v>1.2889999999999999</v>
      </c>
      <c r="T171" s="5">
        <f t="shared" si="18"/>
        <v>2.0539999999999998</v>
      </c>
      <c r="U171" s="5">
        <v>249.01910000000001</v>
      </c>
      <c r="V171" s="5">
        <v>7.5</v>
      </c>
      <c r="W171" s="5">
        <v>4.63</v>
      </c>
      <c r="X171" s="5">
        <f t="shared" si="13"/>
        <v>254.62075664621699</v>
      </c>
      <c r="Y171" s="7">
        <f t="shared" si="14"/>
        <v>1.6849673202614399</v>
      </c>
      <c r="AK171" s="5"/>
    </row>
    <row r="172" spans="1:37">
      <c r="A172" s="2" t="s">
        <v>78</v>
      </c>
      <c r="B172" s="2">
        <v>1</v>
      </c>
      <c r="C172" s="3">
        <v>150</v>
      </c>
      <c r="D172" s="2" t="s">
        <v>129</v>
      </c>
      <c r="E172" s="2" t="s">
        <v>200</v>
      </c>
      <c r="F172" s="11">
        <v>21.8333333333333</v>
      </c>
      <c r="G172" s="11">
        <v>21.8333333333333</v>
      </c>
      <c r="H172" s="11">
        <v>293</v>
      </c>
      <c r="I172" s="11">
        <v>748.33333333333303</v>
      </c>
      <c r="J172" s="12">
        <v>6.2466670000000004</v>
      </c>
      <c r="K172" s="12">
        <f t="shared" si="15"/>
        <v>3.4951972521239498</v>
      </c>
      <c r="L172" s="22">
        <v>111.725301</v>
      </c>
      <c r="M172" s="26">
        <v>501.13255299999997</v>
      </c>
      <c r="N172" s="26">
        <v>1.7114480000000001</v>
      </c>
      <c r="O172" s="5">
        <v>1.4790000000000001</v>
      </c>
      <c r="P172" s="5">
        <v>0.61699999999999999</v>
      </c>
      <c r="Q172" s="5">
        <v>1.617</v>
      </c>
      <c r="R172" s="5">
        <v>1.645</v>
      </c>
      <c r="S172" s="6">
        <f t="shared" si="16"/>
        <v>2.262</v>
      </c>
      <c r="T172" s="5">
        <f t="shared" si="18"/>
        <v>3.7410000000000001</v>
      </c>
      <c r="U172" s="5">
        <v>290.64670000000001</v>
      </c>
      <c r="V172" s="5">
        <v>12.5</v>
      </c>
      <c r="W172" s="5">
        <v>5.0750000000000002</v>
      </c>
      <c r="X172" s="5">
        <f t="shared" si="13"/>
        <v>179.74440321583199</v>
      </c>
      <c r="Y172" s="7">
        <f t="shared" si="14"/>
        <v>1.52941176470588</v>
      </c>
      <c r="Z172" s="5">
        <v>4.1399999999999997</v>
      </c>
      <c r="AA172" s="5">
        <v>2.3032706031068</v>
      </c>
      <c r="AB172" s="8">
        <f t="shared" si="19"/>
        <v>41.4</v>
      </c>
    </row>
    <row r="173" spans="1:37">
      <c r="A173" s="2" t="s">
        <v>78</v>
      </c>
      <c r="B173" s="2">
        <v>1</v>
      </c>
      <c r="C173" s="3">
        <v>150</v>
      </c>
      <c r="D173" s="2" t="s">
        <v>129</v>
      </c>
      <c r="E173" s="2" t="s">
        <v>201</v>
      </c>
      <c r="F173" s="11">
        <v>19.966666666666701</v>
      </c>
      <c r="G173" s="11">
        <v>19.966666666666701</v>
      </c>
      <c r="H173" s="11">
        <v>304.66666666666703</v>
      </c>
      <c r="I173" s="11">
        <v>823.66666666666697</v>
      </c>
      <c r="J173" s="12">
        <v>6.9933329999999998</v>
      </c>
      <c r="K173" s="12">
        <f t="shared" si="15"/>
        <v>2.8551002314156402</v>
      </c>
      <c r="L173" s="11">
        <v>96.735230000000001</v>
      </c>
      <c r="M173" s="11">
        <v>514.12729999999999</v>
      </c>
      <c r="N173" s="11">
        <v>1.13463</v>
      </c>
      <c r="O173" s="5">
        <v>1.0569999999999999</v>
      </c>
      <c r="P173" s="5">
        <v>0.41799999999999998</v>
      </c>
      <c r="Q173" s="5">
        <v>0.69199999999999995</v>
      </c>
      <c r="R173" s="5">
        <v>0.70699999999999996</v>
      </c>
      <c r="S173" s="6">
        <f t="shared" si="16"/>
        <v>1.125</v>
      </c>
      <c r="T173" s="5">
        <f t="shared" si="18"/>
        <v>2.1819999999999999</v>
      </c>
      <c r="U173" s="5">
        <v>120.9444</v>
      </c>
      <c r="V173" s="5">
        <v>6.8</v>
      </c>
      <c r="W173" s="5">
        <v>6.1</v>
      </c>
      <c r="X173" s="5">
        <f t="shared" si="13"/>
        <v>174.77514450867099</v>
      </c>
      <c r="Y173" s="7">
        <f t="shared" si="14"/>
        <v>1.0643330179754</v>
      </c>
      <c r="Z173" s="5">
        <v>3.9</v>
      </c>
      <c r="AA173" s="5">
        <v>2.2314385783880901</v>
      </c>
      <c r="AB173" s="8">
        <f t="shared" si="19"/>
        <v>39</v>
      </c>
    </row>
    <row r="174" spans="1:37">
      <c r="A174" s="2" t="s">
        <v>78</v>
      </c>
      <c r="B174" s="2">
        <v>1</v>
      </c>
      <c r="C174" s="3">
        <v>150</v>
      </c>
      <c r="D174" s="2" t="s">
        <v>129</v>
      </c>
      <c r="E174" s="2" t="s">
        <v>202</v>
      </c>
      <c r="F174" s="11">
        <v>20.966666666666701</v>
      </c>
      <c r="G174" s="11">
        <v>20.966666666666701</v>
      </c>
      <c r="H174" s="11">
        <v>305.33333333333297</v>
      </c>
      <c r="I174" s="11">
        <v>936</v>
      </c>
      <c r="J174" s="12">
        <v>6.3633329999999999</v>
      </c>
      <c r="K174" s="12">
        <f t="shared" si="15"/>
        <v>3.2949189782566202</v>
      </c>
      <c r="L174" s="11">
        <v>99.545199999999994</v>
      </c>
      <c r="M174" s="11">
        <v>326.00009999999997</v>
      </c>
      <c r="N174" s="11">
        <v>1.168758</v>
      </c>
      <c r="O174" s="5">
        <v>1.325</v>
      </c>
      <c r="P174" s="5">
        <v>0.379</v>
      </c>
      <c r="Q174" s="5">
        <v>1.1499999999999999</v>
      </c>
      <c r="R174" s="5">
        <v>1.1759999999999999</v>
      </c>
      <c r="S174" s="6">
        <f t="shared" si="16"/>
        <v>1.5549999999999999</v>
      </c>
      <c r="T174" s="5">
        <f t="shared" si="18"/>
        <v>2.88</v>
      </c>
      <c r="U174" s="5">
        <v>228.56290000000001</v>
      </c>
      <c r="V174" s="5">
        <v>7.2</v>
      </c>
      <c r="W174" s="5">
        <v>4.4800000000000004</v>
      </c>
      <c r="X174" s="5">
        <f t="shared" si="13"/>
        <v>198.75034782608699</v>
      </c>
      <c r="Y174" s="7">
        <f t="shared" si="14"/>
        <v>1.17358490566038</v>
      </c>
      <c r="Z174" s="5">
        <v>3.6</v>
      </c>
      <c r="AA174" s="5">
        <v>1.8113175847873799</v>
      </c>
      <c r="AB174" s="8">
        <f t="shared" si="19"/>
        <v>36</v>
      </c>
    </row>
    <row r="175" spans="1:37">
      <c r="A175" s="2" t="s">
        <v>78</v>
      </c>
      <c r="B175" s="2">
        <v>1</v>
      </c>
      <c r="C175" s="3">
        <v>150</v>
      </c>
      <c r="D175" s="2" t="s">
        <v>129</v>
      </c>
      <c r="E175" s="5" t="s">
        <v>203</v>
      </c>
      <c r="G175" s="12"/>
      <c r="I175" s="12"/>
      <c r="J175" s="12"/>
      <c r="K175" s="12"/>
      <c r="L175" s="11"/>
      <c r="O175" s="5">
        <v>0.65200000000000002</v>
      </c>
      <c r="P175" s="5">
        <v>0.26900000000000002</v>
      </c>
      <c r="Q175" s="5">
        <v>0.56799999999999995</v>
      </c>
      <c r="R175" s="5">
        <v>0.56799999999999995</v>
      </c>
      <c r="S175" s="6">
        <f t="shared" si="16"/>
        <v>0.83699999999999997</v>
      </c>
      <c r="T175" s="5">
        <f t="shared" si="18"/>
        <v>1.4890000000000001</v>
      </c>
      <c r="U175" s="5">
        <v>115.2826</v>
      </c>
      <c r="V175" s="5">
        <v>4.5999999999999996</v>
      </c>
      <c r="W175" s="5">
        <v>5.52</v>
      </c>
      <c r="X175" s="5">
        <f t="shared" si="13"/>
        <v>202.962323943662</v>
      </c>
      <c r="Y175" s="7">
        <f t="shared" si="14"/>
        <v>1.28374233128834</v>
      </c>
    </row>
    <row r="176" spans="1:37">
      <c r="A176" s="2" t="s">
        <v>78</v>
      </c>
      <c r="B176" s="2">
        <v>1</v>
      </c>
      <c r="C176" s="3">
        <v>150</v>
      </c>
      <c r="D176" s="2" t="s">
        <v>129</v>
      </c>
      <c r="E176" s="5" t="s">
        <v>204</v>
      </c>
      <c r="G176" s="12"/>
      <c r="I176" s="12"/>
      <c r="J176" s="12"/>
      <c r="K176" s="12"/>
      <c r="L176" s="11"/>
      <c r="O176" s="5">
        <v>0.86</v>
      </c>
      <c r="P176" s="5">
        <v>0.24199999999999999</v>
      </c>
      <c r="Q176" s="5">
        <v>0.49299999999999999</v>
      </c>
      <c r="R176" s="5">
        <v>0.501</v>
      </c>
      <c r="S176" s="6">
        <f t="shared" si="16"/>
        <v>0.74299999999999999</v>
      </c>
      <c r="T176" s="5">
        <f t="shared" si="18"/>
        <v>1.603</v>
      </c>
      <c r="U176" s="5">
        <v>83.395700000000005</v>
      </c>
      <c r="V176" s="5">
        <v>3.5</v>
      </c>
      <c r="W176" s="5">
        <v>5.17</v>
      </c>
      <c r="X176" s="5">
        <f t="shared" si="13"/>
        <v>169.15963488843801</v>
      </c>
      <c r="Y176" s="7">
        <f t="shared" si="14"/>
        <v>0.86395348837209296</v>
      </c>
    </row>
    <row r="177" spans="1:28">
      <c r="A177" s="2" t="s">
        <v>78</v>
      </c>
      <c r="B177" s="2">
        <v>2</v>
      </c>
      <c r="C177" s="3">
        <v>150</v>
      </c>
      <c r="D177" s="2" t="s">
        <v>129</v>
      </c>
      <c r="E177" s="2" t="s">
        <v>205</v>
      </c>
      <c r="F177" s="11">
        <v>19</v>
      </c>
      <c r="G177" s="11">
        <v>19</v>
      </c>
      <c r="H177" s="11">
        <v>309</v>
      </c>
      <c r="I177" s="11">
        <v>810.66666666666697</v>
      </c>
      <c r="J177" s="12">
        <v>6.42</v>
      </c>
      <c r="K177" s="12">
        <f t="shared" si="15"/>
        <v>2.9595015576324002</v>
      </c>
      <c r="L177" s="11">
        <v>92.241929999999996</v>
      </c>
      <c r="M177" s="11">
        <v>349.0539</v>
      </c>
      <c r="N177" s="11">
        <v>1.5753219999999999</v>
      </c>
      <c r="O177" s="5">
        <v>1.5740000000000001</v>
      </c>
      <c r="P177" s="5">
        <v>0.42799999999999999</v>
      </c>
      <c r="Q177" s="5">
        <v>1.0429999999999999</v>
      </c>
      <c r="R177" s="5">
        <v>1.0429999999999999</v>
      </c>
      <c r="S177" s="6">
        <f t="shared" si="16"/>
        <v>1.4710000000000001</v>
      </c>
      <c r="T177" s="5">
        <f t="shared" si="18"/>
        <v>3.0449999999999999</v>
      </c>
      <c r="U177" s="5">
        <v>154.54060000000001</v>
      </c>
      <c r="V177" s="5">
        <v>4.5</v>
      </c>
      <c r="W177" s="5">
        <v>5.09</v>
      </c>
      <c r="X177" s="5">
        <f t="shared" si="13"/>
        <v>148.16931927133299</v>
      </c>
      <c r="Y177" s="7">
        <f t="shared" si="14"/>
        <v>0.93456162642947904</v>
      </c>
      <c r="Z177" s="5">
        <v>3.86</v>
      </c>
      <c r="AA177" s="5">
        <v>2.6051277140117199</v>
      </c>
      <c r="AB177" s="8">
        <f t="shared" si="19"/>
        <v>38.6</v>
      </c>
    </row>
    <row r="178" spans="1:28">
      <c r="A178" s="2" t="s">
        <v>78</v>
      </c>
      <c r="B178" s="2">
        <v>2</v>
      </c>
      <c r="C178" s="3">
        <v>150</v>
      </c>
      <c r="D178" s="2" t="s">
        <v>129</v>
      </c>
      <c r="E178" s="2" t="s">
        <v>206</v>
      </c>
      <c r="F178" s="11">
        <v>17.633333333333301</v>
      </c>
      <c r="G178" s="11">
        <v>17.633333333333301</v>
      </c>
      <c r="H178" s="11">
        <v>322.66666666666703</v>
      </c>
      <c r="I178" s="11">
        <v>1004.33333333333</v>
      </c>
      <c r="J178" s="12">
        <v>6.38</v>
      </c>
      <c r="K178" s="12">
        <f t="shared" si="15"/>
        <v>2.7638453500522502</v>
      </c>
      <c r="L178" s="11">
        <v>84.154809999999998</v>
      </c>
      <c r="M178" s="11">
        <v>164.36179999999999</v>
      </c>
      <c r="N178" s="11">
        <v>1.42954</v>
      </c>
      <c r="O178" s="5">
        <v>1.4330000000000001</v>
      </c>
      <c r="P178" s="5">
        <v>0.97</v>
      </c>
      <c r="Q178" s="5">
        <v>1.8280000000000001</v>
      </c>
      <c r="R178" s="5">
        <v>1.8280000000000001</v>
      </c>
      <c r="S178" s="6">
        <f t="shared" si="16"/>
        <v>2.798</v>
      </c>
      <c r="T178" s="5">
        <f t="shared" si="18"/>
        <v>4.2309999999999999</v>
      </c>
      <c r="U178" s="5">
        <v>420.36599999999999</v>
      </c>
      <c r="V178" s="5">
        <v>19.2</v>
      </c>
      <c r="W178" s="5">
        <v>5.47</v>
      </c>
      <c r="X178" s="5">
        <f t="shared" si="13"/>
        <v>229.95951859956199</v>
      </c>
      <c r="Y178" s="7">
        <f t="shared" si="14"/>
        <v>1.9525471039776701</v>
      </c>
      <c r="Z178" s="5">
        <v>3.1</v>
      </c>
      <c r="AA178" s="5">
        <v>1.34806335431505</v>
      </c>
      <c r="AB178" s="8">
        <f t="shared" si="19"/>
        <v>31</v>
      </c>
    </row>
    <row r="179" spans="1:28">
      <c r="A179" s="2" t="s">
        <v>78</v>
      </c>
      <c r="B179" s="2">
        <v>2</v>
      </c>
      <c r="C179" s="3">
        <v>150</v>
      </c>
      <c r="D179" s="2" t="s">
        <v>129</v>
      </c>
      <c r="E179" s="2" t="s">
        <v>207</v>
      </c>
      <c r="F179" s="11">
        <v>21.566666666666698</v>
      </c>
      <c r="G179" s="11">
        <v>21.566666666666698</v>
      </c>
      <c r="H179" s="11">
        <v>310.66666666666703</v>
      </c>
      <c r="I179" s="11">
        <v>1142</v>
      </c>
      <c r="J179" s="12">
        <v>7.01</v>
      </c>
      <c r="K179" s="12">
        <f t="shared" si="15"/>
        <v>3.07655729909653</v>
      </c>
      <c r="L179" s="11">
        <v>104.0271</v>
      </c>
      <c r="M179" s="11">
        <v>407.59210000000002</v>
      </c>
      <c r="N179" s="11">
        <v>1.804986</v>
      </c>
      <c r="O179" s="5">
        <v>1.462</v>
      </c>
      <c r="P179" s="5">
        <v>0.49099999999999999</v>
      </c>
      <c r="Q179" s="5">
        <v>1.2010000000000001</v>
      </c>
      <c r="R179" s="5">
        <v>1.2310000000000001</v>
      </c>
      <c r="S179" s="6">
        <f t="shared" si="16"/>
        <v>1.722</v>
      </c>
      <c r="T179" s="5">
        <f t="shared" si="18"/>
        <v>3.1840000000000002</v>
      </c>
      <c r="U179" s="5">
        <v>225.2912</v>
      </c>
      <c r="V179" s="5">
        <v>5</v>
      </c>
      <c r="W179" s="5">
        <v>7.52</v>
      </c>
      <c r="X179" s="5">
        <f t="shared" si="13"/>
        <v>187.58634471273899</v>
      </c>
      <c r="Y179" s="7">
        <f t="shared" si="14"/>
        <v>1.17783857729138</v>
      </c>
      <c r="Z179" s="5">
        <v>3.99</v>
      </c>
      <c r="AA179" s="5">
        <v>2.1270204961401098</v>
      </c>
      <c r="AB179" s="8">
        <f t="shared" si="19"/>
        <v>39.9</v>
      </c>
    </row>
    <row r="180" spans="1:28">
      <c r="A180" s="2" t="s">
        <v>78</v>
      </c>
      <c r="B180" s="2">
        <v>2</v>
      </c>
      <c r="C180" s="3">
        <v>150</v>
      </c>
      <c r="D180" s="2" t="s">
        <v>129</v>
      </c>
      <c r="E180" s="5" t="s">
        <v>208</v>
      </c>
      <c r="G180" s="12"/>
      <c r="I180" s="12"/>
      <c r="J180" s="12"/>
      <c r="K180" s="12"/>
      <c r="L180" s="11"/>
      <c r="O180" s="5">
        <v>0.69799999999999995</v>
      </c>
      <c r="P180" s="5">
        <v>0.25600000000000001</v>
      </c>
      <c r="Q180" s="5">
        <v>0.72699999999999998</v>
      </c>
      <c r="R180" s="5">
        <v>0.72699999999999998</v>
      </c>
      <c r="S180" s="6">
        <f t="shared" si="16"/>
        <v>0.98299999999999998</v>
      </c>
      <c r="T180" s="5">
        <f t="shared" si="18"/>
        <v>1.681</v>
      </c>
      <c r="U180" s="5">
        <v>128.0121</v>
      </c>
      <c r="V180" s="5">
        <v>4.3</v>
      </c>
      <c r="W180" s="5">
        <v>4.1399999999999997</v>
      </c>
      <c r="X180" s="5">
        <f t="shared" si="13"/>
        <v>176.08266850068799</v>
      </c>
      <c r="Y180" s="7">
        <f t="shared" si="14"/>
        <v>1.4083094555873901</v>
      </c>
    </row>
    <row r="181" spans="1:28">
      <c r="A181" s="2" t="s">
        <v>78</v>
      </c>
      <c r="B181" s="2">
        <v>2</v>
      </c>
      <c r="C181" s="3">
        <v>150</v>
      </c>
      <c r="D181" s="2" t="s">
        <v>129</v>
      </c>
      <c r="E181" s="5" t="s">
        <v>209</v>
      </c>
      <c r="G181" s="12"/>
      <c r="I181" s="12"/>
      <c r="J181" s="12"/>
      <c r="K181" s="12"/>
      <c r="L181" s="11"/>
      <c r="O181" s="5">
        <v>1.0640000000000001</v>
      </c>
      <c r="P181" s="5">
        <v>0.36799999999999999</v>
      </c>
      <c r="Q181" s="5">
        <v>0.92600000000000005</v>
      </c>
      <c r="R181" s="5">
        <v>0.93899999999999995</v>
      </c>
      <c r="S181" s="6">
        <f t="shared" si="16"/>
        <v>1.3069999999999999</v>
      </c>
      <c r="T181" s="5">
        <f t="shared" si="18"/>
        <v>2.371</v>
      </c>
      <c r="U181" s="5">
        <v>147.59209999999999</v>
      </c>
      <c r="V181" s="5">
        <v>4.9000000000000004</v>
      </c>
      <c r="W181" s="5">
        <v>6.09</v>
      </c>
      <c r="X181" s="5">
        <f t="shared" si="13"/>
        <v>159.386717062635</v>
      </c>
      <c r="Y181" s="7">
        <f t="shared" si="14"/>
        <v>1.22838345864662</v>
      </c>
    </row>
    <row r="182" spans="1:28">
      <c r="A182" s="2" t="s">
        <v>78</v>
      </c>
      <c r="B182" s="2">
        <v>1</v>
      </c>
      <c r="C182" s="3">
        <v>220</v>
      </c>
      <c r="D182" s="2" t="s">
        <v>129</v>
      </c>
      <c r="E182" s="2" t="s">
        <v>210</v>
      </c>
      <c r="F182" s="11">
        <v>16</v>
      </c>
      <c r="G182" s="11">
        <v>16</v>
      </c>
      <c r="H182" s="11">
        <v>323.66666666666703</v>
      </c>
      <c r="I182" s="11">
        <v>728.66666666666697</v>
      </c>
      <c r="J182" s="12">
        <v>6.0933330000000003</v>
      </c>
      <c r="K182" s="12">
        <f t="shared" si="15"/>
        <v>2.6258207125722501</v>
      </c>
      <c r="L182" s="11">
        <v>83.253590000000003</v>
      </c>
      <c r="M182" s="11">
        <v>164.92339999999999</v>
      </c>
      <c r="N182" s="11">
        <v>1.9198090000000001</v>
      </c>
      <c r="O182" s="5">
        <v>1.7130000000000001</v>
      </c>
      <c r="P182" s="5">
        <v>1.145</v>
      </c>
      <c r="Q182" s="5">
        <v>3.0310000000000001</v>
      </c>
      <c r="R182" s="5">
        <v>3.0750000000000002</v>
      </c>
      <c r="S182" s="6">
        <f t="shared" si="16"/>
        <v>4.22</v>
      </c>
      <c r="T182" s="5">
        <f t="shared" si="18"/>
        <v>5.9329999999999998</v>
      </c>
      <c r="U182" s="5">
        <v>614.97199999999998</v>
      </c>
      <c r="V182" s="5">
        <v>32</v>
      </c>
      <c r="W182" s="5">
        <v>5.2</v>
      </c>
      <c r="X182" s="5">
        <f t="shared" si="13"/>
        <v>202.89409435829799</v>
      </c>
      <c r="Y182" s="7">
        <f t="shared" si="14"/>
        <v>2.46351430239346</v>
      </c>
      <c r="Z182" s="5">
        <v>2.48</v>
      </c>
      <c r="AA182" s="5">
        <v>1.2223125605718601</v>
      </c>
      <c r="AB182" s="8">
        <f t="shared" si="19"/>
        <v>24.8</v>
      </c>
    </row>
    <row r="183" spans="1:28">
      <c r="A183" s="2" t="s">
        <v>78</v>
      </c>
      <c r="B183" s="2">
        <v>1</v>
      </c>
      <c r="C183" s="3">
        <v>220</v>
      </c>
      <c r="D183" s="2" t="s">
        <v>129</v>
      </c>
      <c r="E183" s="2" t="s">
        <v>211</v>
      </c>
      <c r="F183" s="11">
        <v>20.2</v>
      </c>
      <c r="G183" s="11">
        <v>20.2</v>
      </c>
      <c r="H183" s="11">
        <v>313.33333333333297</v>
      </c>
      <c r="I183" s="11">
        <v>887</v>
      </c>
      <c r="J183" s="12">
        <v>6.443333</v>
      </c>
      <c r="K183" s="12">
        <f t="shared" si="15"/>
        <v>3.1350234420601901</v>
      </c>
      <c r="L183" s="11">
        <v>95.559629999999999</v>
      </c>
      <c r="M183" s="11">
        <v>402.9615</v>
      </c>
      <c r="N183" s="11">
        <v>1.8282609999999999</v>
      </c>
      <c r="O183" s="5">
        <v>1.085</v>
      </c>
      <c r="P183" s="5">
        <v>0.51200000000000001</v>
      </c>
      <c r="Q183" s="5">
        <v>1.4339999999999999</v>
      </c>
      <c r="R183" s="5">
        <v>1.456</v>
      </c>
      <c r="S183" s="6">
        <f t="shared" si="16"/>
        <v>1.968</v>
      </c>
      <c r="T183" s="5">
        <f t="shared" si="18"/>
        <v>3.0529999999999999</v>
      </c>
      <c r="U183" s="5">
        <v>343.6447</v>
      </c>
      <c r="V183" s="5">
        <v>12.5</v>
      </c>
      <c r="W183" s="5">
        <v>5.77</v>
      </c>
      <c r="X183" s="5">
        <f t="shared" si="13"/>
        <v>239.64065550906599</v>
      </c>
      <c r="Y183" s="7">
        <f t="shared" si="14"/>
        <v>1.8138248847926299</v>
      </c>
      <c r="Z183" s="5">
        <v>3.87</v>
      </c>
      <c r="AA183" s="5">
        <v>1.61491796614352</v>
      </c>
      <c r="AB183" s="8">
        <f t="shared" si="19"/>
        <v>38.700000000000003</v>
      </c>
    </row>
    <row r="184" spans="1:28">
      <c r="A184" s="2" t="s">
        <v>78</v>
      </c>
      <c r="B184" s="2">
        <v>1</v>
      </c>
      <c r="C184" s="3">
        <v>220</v>
      </c>
      <c r="D184" s="2" t="s">
        <v>129</v>
      </c>
      <c r="E184" s="2" t="s">
        <v>212</v>
      </c>
      <c r="F184" s="11">
        <v>18.1666666666667</v>
      </c>
      <c r="G184" s="11">
        <v>18.1666666666667</v>
      </c>
      <c r="H184" s="11">
        <v>292.33333333333297</v>
      </c>
      <c r="I184" s="11">
        <v>488.33333333333297</v>
      </c>
      <c r="J184" s="12">
        <v>5.52</v>
      </c>
      <c r="K184" s="12">
        <f t="shared" si="15"/>
        <v>3.29106280193237</v>
      </c>
      <c r="L184" s="11">
        <v>98.015569999999997</v>
      </c>
      <c r="M184" s="11">
        <v>298.62329999999997</v>
      </c>
      <c r="N184" s="11">
        <v>1.1902710000000001</v>
      </c>
      <c r="O184" s="5">
        <v>1.617</v>
      </c>
      <c r="P184" s="5">
        <v>1.7869999999999999</v>
      </c>
      <c r="Q184" s="5">
        <v>3.3330000000000002</v>
      </c>
      <c r="R184" s="5">
        <v>3.4009999999999998</v>
      </c>
      <c r="S184" s="6">
        <f t="shared" si="16"/>
        <v>5.1879999999999997</v>
      </c>
      <c r="T184" s="5">
        <f t="shared" si="18"/>
        <v>6.8049999999999997</v>
      </c>
      <c r="U184" s="5">
        <v>873.07339999999999</v>
      </c>
      <c r="V184" s="5">
        <v>41.2</v>
      </c>
      <c r="W184" s="5">
        <v>5.89</v>
      </c>
      <c r="X184" s="5">
        <f t="shared" si="13"/>
        <v>261.948214821482</v>
      </c>
      <c r="Y184" s="7">
        <f t="shared" si="14"/>
        <v>3.20841063698207</v>
      </c>
      <c r="Z184" s="5">
        <v>2.5299999999999998</v>
      </c>
      <c r="AA184" s="5">
        <v>0.96583975642826803</v>
      </c>
      <c r="AB184" s="8">
        <f t="shared" si="19"/>
        <v>25.3</v>
      </c>
    </row>
    <row r="185" spans="1:28">
      <c r="A185" s="2" t="s">
        <v>78</v>
      </c>
      <c r="B185" s="2">
        <v>1</v>
      </c>
      <c r="C185" s="3">
        <v>220</v>
      </c>
      <c r="D185" s="2" t="s">
        <v>129</v>
      </c>
      <c r="E185" s="5" t="s">
        <v>213</v>
      </c>
      <c r="G185" s="12"/>
      <c r="I185" s="12"/>
      <c r="J185" s="12"/>
      <c r="K185" s="12"/>
      <c r="L185" s="11"/>
      <c r="O185" s="5">
        <v>0.32800000000000001</v>
      </c>
      <c r="P185" s="5">
        <v>0.186</v>
      </c>
      <c r="Q185" s="5">
        <v>0.64900000000000002</v>
      </c>
      <c r="R185" s="5">
        <v>0.66900000000000004</v>
      </c>
      <c r="S185" s="6">
        <f t="shared" si="16"/>
        <v>0.85499999999999998</v>
      </c>
      <c r="T185" s="5">
        <f t="shared" si="18"/>
        <v>1.1830000000000001</v>
      </c>
      <c r="U185" s="5">
        <v>147.27510000000001</v>
      </c>
      <c r="V185" s="5">
        <v>3.1</v>
      </c>
      <c r="W185" s="5">
        <v>3.66</v>
      </c>
      <c r="X185" s="5">
        <f t="shared" si="13"/>
        <v>226.92619414483801</v>
      </c>
      <c r="Y185" s="7">
        <f t="shared" si="14"/>
        <v>2.60670731707317</v>
      </c>
    </row>
    <row r="186" spans="1:28">
      <c r="A186" s="2" t="s">
        <v>78</v>
      </c>
      <c r="B186" s="2">
        <v>1</v>
      </c>
      <c r="C186" s="3">
        <v>220</v>
      </c>
      <c r="D186" s="2" t="s">
        <v>129</v>
      </c>
      <c r="E186" s="5" t="s">
        <v>214</v>
      </c>
      <c r="G186" s="12"/>
      <c r="I186" s="12"/>
      <c r="J186" s="12"/>
      <c r="K186" s="12"/>
      <c r="L186" s="11"/>
      <c r="O186" s="5">
        <v>3.629</v>
      </c>
      <c r="P186" s="5">
        <v>0.32</v>
      </c>
      <c r="Q186" s="5">
        <v>0.627</v>
      </c>
      <c r="R186" s="5">
        <v>0.63800000000000001</v>
      </c>
      <c r="S186" s="6">
        <f t="shared" si="16"/>
        <v>0.95799999999999996</v>
      </c>
      <c r="T186" s="5">
        <f t="shared" si="18"/>
        <v>4.5869999999999997</v>
      </c>
      <c r="U186" s="5">
        <v>132.3818</v>
      </c>
      <c r="V186" s="5">
        <v>5.0999999999999996</v>
      </c>
      <c r="W186" s="5">
        <v>5.07</v>
      </c>
      <c r="X186" s="5">
        <f t="shared" si="13"/>
        <v>211.13524720893099</v>
      </c>
      <c r="Y186" s="7">
        <f t="shared" si="14"/>
        <v>0.26398456875172199</v>
      </c>
    </row>
    <row r="187" spans="1:28">
      <c r="A187" s="2" t="s">
        <v>78</v>
      </c>
      <c r="B187" s="2">
        <v>2</v>
      </c>
      <c r="C187" s="3">
        <v>220</v>
      </c>
      <c r="D187" s="2" t="s">
        <v>129</v>
      </c>
      <c r="E187" s="2" t="s">
        <v>215</v>
      </c>
      <c r="F187" s="11">
        <v>21.1</v>
      </c>
      <c r="G187" s="11">
        <v>21.1</v>
      </c>
      <c r="H187" s="11">
        <v>303.66666666666703</v>
      </c>
      <c r="I187" s="11">
        <v>771.66666666666697</v>
      </c>
      <c r="J187" s="12">
        <v>5.91</v>
      </c>
      <c r="K187" s="12">
        <f t="shared" si="15"/>
        <v>3.5702199661590499</v>
      </c>
      <c r="L187" s="11">
        <v>95.023679999999999</v>
      </c>
      <c r="M187" s="11">
        <v>413.4615</v>
      </c>
      <c r="N187" s="11">
        <v>0.97426999999999997</v>
      </c>
      <c r="O187" s="5">
        <v>1.0780000000000001</v>
      </c>
      <c r="P187" s="5">
        <v>0.80400000000000005</v>
      </c>
      <c r="Q187" s="5">
        <v>2.6859999999999999</v>
      </c>
      <c r="R187" s="5">
        <v>2.722</v>
      </c>
      <c r="S187" s="6">
        <f t="shared" si="16"/>
        <v>3.5259999999999998</v>
      </c>
      <c r="T187" s="5">
        <f t="shared" si="18"/>
        <v>4.6040000000000001</v>
      </c>
      <c r="U187" s="5">
        <v>616.66859999999997</v>
      </c>
      <c r="V187" s="5">
        <v>10.1</v>
      </c>
      <c r="W187" s="5">
        <v>6.87</v>
      </c>
      <c r="X187" s="5">
        <f t="shared" si="13"/>
        <v>229.586224869695</v>
      </c>
      <c r="Y187" s="7">
        <f t="shared" si="14"/>
        <v>3.2708719851576999</v>
      </c>
      <c r="Z187" s="5">
        <v>3.34</v>
      </c>
      <c r="AA187" s="5">
        <v>1.4547911147089401</v>
      </c>
      <c r="AB187" s="8">
        <f t="shared" si="19"/>
        <v>33.4</v>
      </c>
    </row>
    <row r="188" spans="1:28">
      <c r="A188" s="2" t="s">
        <v>78</v>
      </c>
      <c r="B188" s="2">
        <v>2</v>
      </c>
      <c r="C188" s="3">
        <v>220</v>
      </c>
      <c r="D188" s="2" t="s">
        <v>129</v>
      </c>
      <c r="E188" s="2" t="s">
        <v>216</v>
      </c>
      <c r="F188" s="11">
        <v>22.866666666666699</v>
      </c>
      <c r="G188" s="11">
        <v>22.866666666666699</v>
      </c>
      <c r="H188" s="11">
        <v>307.33333333333297</v>
      </c>
      <c r="I188" s="11">
        <v>1044.6666666666699</v>
      </c>
      <c r="J188" s="12">
        <v>5.93</v>
      </c>
      <c r="K188" s="12">
        <f t="shared" si="15"/>
        <v>3.8560989319842598</v>
      </c>
      <c r="L188" s="11">
        <v>109.5022</v>
      </c>
      <c r="M188" s="11">
        <v>517.9425</v>
      </c>
      <c r="N188" s="11">
        <v>0.82660100000000003</v>
      </c>
      <c r="O188" s="5">
        <v>1.413</v>
      </c>
      <c r="P188" s="5">
        <v>0.7</v>
      </c>
      <c r="Q188" s="5">
        <v>1.4650000000000001</v>
      </c>
      <c r="R188" s="5">
        <v>1.4850000000000001</v>
      </c>
      <c r="S188" s="6">
        <f t="shared" si="16"/>
        <v>2.1850000000000001</v>
      </c>
      <c r="T188" s="5">
        <f t="shared" si="18"/>
        <v>3.5979999999999999</v>
      </c>
      <c r="U188" s="5">
        <v>245.1979</v>
      </c>
      <c r="V188" s="5">
        <v>16.2</v>
      </c>
      <c r="W188" s="5">
        <v>6</v>
      </c>
      <c r="X188" s="5">
        <f t="shared" si="13"/>
        <v>167.37058020477801</v>
      </c>
      <c r="Y188" s="7">
        <f t="shared" si="14"/>
        <v>1.5463552724699201</v>
      </c>
      <c r="Z188" s="5">
        <v>3.44</v>
      </c>
      <c r="AA188" s="5">
        <v>2.0553193971074002</v>
      </c>
      <c r="AB188" s="8">
        <f t="shared" si="19"/>
        <v>34.4</v>
      </c>
    </row>
    <row r="189" spans="1:28">
      <c r="A189" s="2" t="s">
        <v>78</v>
      </c>
      <c r="B189" s="2">
        <v>2</v>
      </c>
      <c r="C189" s="3">
        <v>220</v>
      </c>
      <c r="D189" s="2" t="s">
        <v>129</v>
      </c>
      <c r="E189" s="2" t="s">
        <v>217</v>
      </c>
      <c r="F189" s="11">
        <v>20.266666666666701</v>
      </c>
      <c r="G189" s="11">
        <v>20.266666666666701</v>
      </c>
      <c r="H189" s="11">
        <v>317.66666666666703</v>
      </c>
      <c r="I189" s="11">
        <v>1003.66666666667</v>
      </c>
      <c r="J189" s="12">
        <v>6.52</v>
      </c>
      <c r="K189" s="12">
        <f t="shared" si="15"/>
        <v>3.10838445807771</v>
      </c>
      <c r="L189" s="11">
        <v>93.895439999999994</v>
      </c>
      <c r="M189" s="11">
        <v>325.96170000000001</v>
      </c>
      <c r="N189" s="11">
        <v>1.7498959999999999</v>
      </c>
      <c r="O189" s="5">
        <v>1.4470000000000001</v>
      </c>
      <c r="P189" s="5">
        <v>0.68200000000000005</v>
      </c>
      <c r="Q189" s="5">
        <v>1.9179999999999999</v>
      </c>
      <c r="R189" s="5">
        <v>1.9710000000000001</v>
      </c>
      <c r="S189" s="6">
        <f t="shared" si="16"/>
        <v>2.653</v>
      </c>
      <c r="T189" s="5">
        <f t="shared" si="18"/>
        <v>4.0999999999999996</v>
      </c>
      <c r="U189" s="5">
        <v>426.85739999999998</v>
      </c>
      <c r="V189" s="5">
        <v>12.3</v>
      </c>
      <c r="W189" s="5">
        <v>6.68</v>
      </c>
      <c r="X189" s="5">
        <f t="shared" si="13"/>
        <v>222.55338894682001</v>
      </c>
      <c r="Y189" s="7">
        <f t="shared" si="14"/>
        <v>1.8334485141672401</v>
      </c>
      <c r="Z189" s="5">
        <v>3.69</v>
      </c>
      <c r="AA189" s="5">
        <v>1.6580291216692</v>
      </c>
      <c r="AB189" s="8">
        <f t="shared" si="19"/>
        <v>36.9</v>
      </c>
    </row>
    <row r="190" spans="1:28">
      <c r="A190" s="2" t="s">
        <v>78</v>
      </c>
      <c r="B190" s="2">
        <v>2</v>
      </c>
      <c r="C190" s="3">
        <v>220</v>
      </c>
      <c r="D190" s="2" t="s">
        <v>129</v>
      </c>
      <c r="E190" s="5" t="s">
        <v>218</v>
      </c>
      <c r="G190" s="12"/>
      <c r="I190" s="12"/>
      <c r="J190" s="12"/>
      <c r="K190" s="12"/>
      <c r="L190" s="11"/>
      <c r="O190" s="5">
        <v>1.1160000000000001</v>
      </c>
      <c r="P190" s="5">
        <v>0.35299999999999998</v>
      </c>
      <c r="Q190" s="5">
        <v>1.399</v>
      </c>
      <c r="R190" s="5">
        <v>1.421</v>
      </c>
      <c r="S190" s="6">
        <f t="shared" si="16"/>
        <v>1.774</v>
      </c>
      <c r="T190" s="5">
        <f t="shared" si="18"/>
        <v>2.89</v>
      </c>
      <c r="U190" s="5">
        <v>203.34229999999999</v>
      </c>
      <c r="V190" s="5">
        <v>5.0999999999999996</v>
      </c>
      <c r="W190" s="5">
        <v>4.5</v>
      </c>
      <c r="X190" s="5">
        <f t="shared" si="13"/>
        <v>145.34832022873499</v>
      </c>
      <c r="Y190" s="7">
        <f t="shared" si="14"/>
        <v>1.58960573476703</v>
      </c>
    </row>
    <row r="191" spans="1:28">
      <c r="A191" s="2" t="s">
        <v>78</v>
      </c>
      <c r="B191" s="2">
        <v>2</v>
      </c>
      <c r="C191" s="3">
        <v>220</v>
      </c>
      <c r="D191" s="2" t="s">
        <v>129</v>
      </c>
      <c r="E191" s="5" t="s">
        <v>219</v>
      </c>
      <c r="G191" s="12"/>
      <c r="I191" s="12"/>
      <c r="J191" s="12"/>
      <c r="K191" s="12"/>
      <c r="L191" s="11"/>
      <c r="O191" s="5">
        <v>1.2430000000000001</v>
      </c>
      <c r="P191" s="5">
        <v>0.36699999999999999</v>
      </c>
      <c r="Q191" s="5">
        <v>0.48199999999999998</v>
      </c>
      <c r="R191" s="5">
        <v>0.49099999999999999</v>
      </c>
      <c r="S191" s="6">
        <f t="shared" si="16"/>
        <v>0.85799999999999998</v>
      </c>
      <c r="T191" s="5">
        <f t="shared" si="18"/>
        <v>2.101</v>
      </c>
      <c r="U191" s="5">
        <v>80.021100000000004</v>
      </c>
      <c r="V191" s="5">
        <v>4.7</v>
      </c>
      <c r="W191" s="5">
        <v>6.79</v>
      </c>
      <c r="X191" s="5">
        <f t="shared" si="13"/>
        <v>166.01887966805</v>
      </c>
      <c r="Y191" s="7">
        <f t="shared" si="14"/>
        <v>0.69026548672566401</v>
      </c>
    </row>
    <row r="192" spans="1:28">
      <c r="A192" s="2" t="s">
        <v>78</v>
      </c>
      <c r="B192" s="2">
        <v>1</v>
      </c>
      <c r="C192" s="3">
        <v>290</v>
      </c>
      <c r="D192" s="2" t="s">
        <v>129</v>
      </c>
      <c r="E192" s="2" t="s">
        <v>220</v>
      </c>
      <c r="F192" s="11">
        <v>20.1666666666667</v>
      </c>
      <c r="G192" s="11">
        <v>20.1666666666667</v>
      </c>
      <c r="H192" s="11">
        <v>316.33333333333297</v>
      </c>
      <c r="I192" s="11">
        <v>1021.33333333333</v>
      </c>
      <c r="J192" s="12">
        <v>6.9466669999999997</v>
      </c>
      <c r="K192" s="12">
        <f t="shared" si="15"/>
        <v>2.9030708779716501</v>
      </c>
      <c r="L192" s="11">
        <v>94.77619</v>
      </c>
      <c r="M192" s="11">
        <v>355.33510000000001</v>
      </c>
      <c r="N192" s="11">
        <v>1.2809759999999999</v>
      </c>
      <c r="O192" s="5">
        <v>0.84299999999999997</v>
      </c>
      <c r="P192" s="5">
        <v>0.39600000000000002</v>
      </c>
      <c r="Q192" s="5">
        <v>1.03</v>
      </c>
      <c r="R192" s="5">
        <v>1.0489999999999999</v>
      </c>
      <c r="S192" s="6">
        <f t="shared" si="16"/>
        <v>1.4450000000000001</v>
      </c>
      <c r="T192" s="5">
        <f t="shared" si="18"/>
        <v>2.2879999999999998</v>
      </c>
      <c r="U192" s="5">
        <v>208.55879999999999</v>
      </c>
      <c r="V192" s="5">
        <v>6.4</v>
      </c>
      <c r="W192" s="5">
        <v>5.69</v>
      </c>
      <c r="X192" s="5">
        <f t="shared" si="13"/>
        <v>202.48427184465999</v>
      </c>
      <c r="Y192" s="7">
        <f t="shared" si="14"/>
        <v>1.7141162514827999</v>
      </c>
      <c r="Z192" s="5">
        <v>4.08</v>
      </c>
      <c r="AA192" s="5">
        <v>2.0149713174414101</v>
      </c>
      <c r="AB192" s="8">
        <f t="shared" si="19"/>
        <v>40.799999999999997</v>
      </c>
    </row>
    <row r="193" spans="1:28">
      <c r="A193" s="2" t="s">
        <v>78</v>
      </c>
      <c r="B193" s="2">
        <v>1</v>
      </c>
      <c r="C193" s="3">
        <v>290</v>
      </c>
      <c r="D193" s="2" t="s">
        <v>129</v>
      </c>
      <c r="E193" s="2" t="s">
        <v>221</v>
      </c>
      <c r="F193" s="11">
        <v>19.966666666666701</v>
      </c>
      <c r="G193" s="11">
        <v>19.966666666666701</v>
      </c>
      <c r="H193" s="11">
        <v>296.33333333333297</v>
      </c>
      <c r="I193" s="11">
        <v>679</v>
      </c>
      <c r="J193" s="12">
        <v>5.5766669999999996</v>
      </c>
      <c r="K193" s="12">
        <f t="shared" si="15"/>
        <v>3.5803942868861802</v>
      </c>
      <c r="L193" s="11">
        <v>102.7439</v>
      </c>
      <c r="M193" s="11">
        <v>443.75599999999997</v>
      </c>
      <c r="N193" s="11">
        <v>0.84708600000000001</v>
      </c>
      <c r="O193" s="5">
        <v>0.64300000000000002</v>
      </c>
      <c r="P193" s="5">
        <v>0.78100000000000003</v>
      </c>
      <c r="Q193" s="5">
        <v>1.738</v>
      </c>
      <c r="R193" s="5">
        <v>1.782</v>
      </c>
      <c r="S193" s="6">
        <f t="shared" si="16"/>
        <v>2.5630000000000002</v>
      </c>
      <c r="T193" s="5">
        <f t="shared" si="18"/>
        <v>3.206</v>
      </c>
      <c r="U193" s="5">
        <v>435.16309999999999</v>
      </c>
      <c r="V193" s="5">
        <v>25.8</v>
      </c>
      <c r="W193" s="5">
        <v>4.7699999999999996</v>
      </c>
      <c r="X193" s="5">
        <f t="shared" si="13"/>
        <v>250.38153049482199</v>
      </c>
      <c r="Y193" s="7">
        <f t="shared" si="14"/>
        <v>3.9860031104199098</v>
      </c>
      <c r="Z193" s="5">
        <v>3.44</v>
      </c>
      <c r="AA193" s="5">
        <v>1.37390325604354</v>
      </c>
      <c r="AB193" s="8">
        <f t="shared" si="19"/>
        <v>34.4</v>
      </c>
    </row>
    <row r="194" spans="1:28">
      <c r="A194" s="2" t="s">
        <v>78</v>
      </c>
      <c r="B194" s="2">
        <v>1</v>
      </c>
      <c r="C194" s="3">
        <v>290</v>
      </c>
      <c r="D194" s="2" t="s">
        <v>129</v>
      </c>
      <c r="E194" s="2" t="s">
        <v>222</v>
      </c>
      <c r="F194" s="11">
        <v>22.366666666666699</v>
      </c>
      <c r="G194" s="11">
        <v>22.366666666666699</v>
      </c>
      <c r="H194" s="11">
        <v>301.66666666666703</v>
      </c>
      <c r="I194" s="11">
        <v>943</v>
      </c>
      <c r="J194" s="12">
        <v>6.5866670000000003</v>
      </c>
      <c r="K194" s="12">
        <f t="shared" si="15"/>
        <v>3.3957488160046099</v>
      </c>
      <c r="L194" s="11">
        <v>101.7736</v>
      </c>
      <c r="M194" s="11">
        <v>598.43809999999996</v>
      </c>
      <c r="N194" s="11">
        <v>0.83198099999999997</v>
      </c>
      <c r="O194" s="5">
        <v>1.4379999999999999</v>
      </c>
      <c r="P194" s="5">
        <v>0.379</v>
      </c>
      <c r="Q194" s="5">
        <v>1.2809999999999999</v>
      </c>
      <c r="R194" s="5">
        <v>1.3029999999999999</v>
      </c>
      <c r="S194" s="6">
        <f t="shared" si="16"/>
        <v>1.6819999999999999</v>
      </c>
      <c r="T194" s="5">
        <f t="shared" si="18"/>
        <v>3.12</v>
      </c>
      <c r="U194" s="5">
        <v>229.60220000000001</v>
      </c>
      <c r="V194" s="5">
        <v>7.6</v>
      </c>
      <c r="W194" s="5">
        <v>4.2699999999999996</v>
      </c>
      <c r="X194" s="5">
        <f t="shared" si="13"/>
        <v>179.23669008587001</v>
      </c>
      <c r="Y194" s="7">
        <f t="shared" si="14"/>
        <v>1.1696801112656501</v>
      </c>
      <c r="Z194" s="5">
        <v>3.46</v>
      </c>
      <c r="AA194" s="5">
        <v>1.9304083323243399</v>
      </c>
      <c r="AB194" s="8">
        <f t="shared" si="19"/>
        <v>34.6</v>
      </c>
    </row>
    <row r="195" spans="1:28">
      <c r="A195" s="2" t="s">
        <v>78</v>
      </c>
      <c r="B195" s="2">
        <v>1</v>
      </c>
      <c r="C195" s="3">
        <v>290</v>
      </c>
      <c r="D195" s="2" t="s">
        <v>129</v>
      </c>
      <c r="E195" s="5" t="s">
        <v>223</v>
      </c>
      <c r="G195" s="12"/>
      <c r="I195" s="12"/>
      <c r="J195" s="12"/>
      <c r="K195" s="12"/>
      <c r="L195" s="11"/>
      <c r="O195" s="5">
        <v>0.85299999999999998</v>
      </c>
      <c r="P195" s="5">
        <v>0.26400000000000001</v>
      </c>
      <c r="Q195" s="5">
        <v>0.75</v>
      </c>
      <c r="R195" s="5">
        <v>0.77400000000000002</v>
      </c>
      <c r="S195" s="6">
        <f t="shared" si="16"/>
        <v>1.038</v>
      </c>
      <c r="T195" s="5">
        <f t="shared" si="18"/>
        <v>1.891</v>
      </c>
      <c r="U195" s="5">
        <v>150.55770000000001</v>
      </c>
      <c r="V195" s="5">
        <v>4.2</v>
      </c>
      <c r="W195" s="5">
        <v>4.5</v>
      </c>
      <c r="X195" s="5">
        <f t="shared" ref="X195:X201" si="20">U195/Q195</f>
        <v>200.74359999999999</v>
      </c>
      <c r="Y195" s="7">
        <f t="shared" ref="Y195:Y201" si="21">(P195+R195)/O195</f>
        <v>1.2168815943728</v>
      </c>
    </row>
    <row r="196" spans="1:28">
      <c r="A196" s="2" t="s">
        <v>78</v>
      </c>
      <c r="B196" s="2">
        <v>1</v>
      </c>
      <c r="C196" s="3">
        <v>290</v>
      </c>
      <c r="D196" s="2" t="s">
        <v>129</v>
      </c>
      <c r="E196" s="5" t="s">
        <v>224</v>
      </c>
      <c r="G196" s="12"/>
      <c r="I196" s="12"/>
      <c r="J196" s="12"/>
      <c r="K196" s="12"/>
      <c r="O196" s="5">
        <v>1.0069999999999999</v>
      </c>
      <c r="P196" s="5">
        <v>0.64700000000000002</v>
      </c>
      <c r="Q196" s="5">
        <v>1.57</v>
      </c>
      <c r="R196" s="5">
        <v>1.6</v>
      </c>
      <c r="S196" s="6">
        <f t="shared" ref="S196:S201" si="22">P196+R196</f>
        <v>2.2469999999999999</v>
      </c>
      <c r="T196" s="5">
        <f t="shared" si="18"/>
        <v>3.254</v>
      </c>
      <c r="U196" s="5">
        <v>363.99779999999998</v>
      </c>
      <c r="V196" s="5">
        <v>18.5</v>
      </c>
      <c r="W196" s="5">
        <v>4.53</v>
      </c>
      <c r="X196" s="5">
        <f t="shared" si="20"/>
        <v>231.845732484076</v>
      </c>
      <c r="Y196" s="7">
        <f t="shared" si="21"/>
        <v>2.2313803376365402</v>
      </c>
    </row>
    <row r="197" spans="1:28">
      <c r="A197" s="2" t="s">
        <v>78</v>
      </c>
      <c r="B197" s="2">
        <v>2</v>
      </c>
      <c r="C197" s="3">
        <v>290</v>
      </c>
      <c r="D197" s="2" t="s">
        <v>129</v>
      </c>
      <c r="E197" s="2" t="s">
        <v>225</v>
      </c>
      <c r="F197" s="11">
        <v>22</v>
      </c>
      <c r="G197" s="11">
        <v>22</v>
      </c>
      <c r="H197" s="11">
        <v>297</v>
      </c>
      <c r="I197" s="11">
        <v>800</v>
      </c>
      <c r="J197" s="12">
        <v>6.3633329999999999</v>
      </c>
      <c r="K197" s="12">
        <f>G197/J197</f>
        <v>3.4573076719385898</v>
      </c>
      <c r="L197" s="22">
        <v>107.061211</v>
      </c>
      <c r="M197" s="29">
        <v>378.00873999999999</v>
      </c>
      <c r="N197" s="29">
        <v>1.82212</v>
      </c>
      <c r="O197" s="5">
        <v>2.17</v>
      </c>
      <c r="P197" s="5">
        <v>0.77500000000000002</v>
      </c>
      <c r="Q197" s="5">
        <v>1.8080000000000001</v>
      </c>
      <c r="R197" s="5">
        <v>1.83</v>
      </c>
      <c r="S197" s="6">
        <f t="shared" si="22"/>
        <v>2.605</v>
      </c>
      <c r="T197" s="5">
        <f t="shared" si="18"/>
        <v>4.7750000000000004</v>
      </c>
      <c r="U197" s="5">
        <v>369.1026</v>
      </c>
      <c r="V197" s="5">
        <v>12.5</v>
      </c>
      <c r="W197" s="5">
        <v>6.37</v>
      </c>
      <c r="X197" s="5">
        <f t="shared" si="20"/>
        <v>204.149668141593</v>
      </c>
      <c r="Y197" s="7">
        <f t="shared" si="21"/>
        <v>1.2004608294930901</v>
      </c>
      <c r="Z197" s="5">
        <v>4.3499999999999996</v>
      </c>
      <c r="AA197" s="5">
        <v>2.13078965035738</v>
      </c>
      <c r="AB197" s="8">
        <f t="shared" si="19"/>
        <v>43.5</v>
      </c>
    </row>
    <row r="198" spans="1:28">
      <c r="A198" s="2" t="s">
        <v>78</v>
      </c>
      <c r="B198" s="2">
        <v>2</v>
      </c>
      <c r="C198" s="3">
        <v>290</v>
      </c>
      <c r="D198" s="2" t="s">
        <v>129</v>
      </c>
      <c r="E198" s="2" t="s">
        <v>226</v>
      </c>
      <c r="F198" s="11">
        <v>17.766666666666701</v>
      </c>
      <c r="G198" s="11">
        <v>17.766666666666701</v>
      </c>
      <c r="H198" s="11">
        <v>291.66666666666703</v>
      </c>
      <c r="I198" s="11">
        <v>512</v>
      </c>
      <c r="J198" s="12">
        <v>6.1466669999999999</v>
      </c>
      <c r="K198" s="12">
        <f>G198/J198</f>
        <v>2.8904553747041599</v>
      </c>
      <c r="L198" s="11">
        <v>109.1738</v>
      </c>
      <c r="M198" s="11">
        <v>275.20530000000002</v>
      </c>
      <c r="N198" s="11">
        <v>2.2212700000000001</v>
      </c>
      <c r="O198" s="5">
        <v>1.1850000000000001</v>
      </c>
      <c r="P198" s="5">
        <v>0.98599999999999999</v>
      </c>
      <c r="Q198" s="5">
        <v>2.343</v>
      </c>
      <c r="R198" s="5">
        <v>2.3919999999999999</v>
      </c>
      <c r="S198" s="6">
        <f t="shared" si="22"/>
        <v>3.3780000000000001</v>
      </c>
      <c r="T198" s="5">
        <f>O198+P198+R198</f>
        <v>4.5629999999999997</v>
      </c>
      <c r="U198" s="5">
        <v>610.45389999999998</v>
      </c>
      <c r="V198" s="5">
        <v>21.2</v>
      </c>
      <c r="W198" s="5">
        <v>5.85</v>
      </c>
      <c r="X198" s="5">
        <f t="shared" si="20"/>
        <v>260.54370465215499</v>
      </c>
      <c r="Y198" s="7">
        <f t="shared" si="21"/>
        <v>2.8506329113923998</v>
      </c>
      <c r="Z198" s="5">
        <v>3.9</v>
      </c>
      <c r="AA198" s="5">
        <v>1.49686978820186</v>
      </c>
      <c r="AB198" s="8">
        <f t="shared" si="19"/>
        <v>39</v>
      </c>
    </row>
    <row r="199" spans="1:28">
      <c r="A199" s="2" t="s">
        <v>78</v>
      </c>
      <c r="B199" s="2">
        <v>2</v>
      </c>
      <c r="C199" s="3">
        <v>290</v>
      </c>
      <c r="D199" s="2" t="s">
        <v>129</v>
      </c>
      <c r="E199" s="2" t="s">
        <v>227</v>
      </c>
      <c r="F199" s="11">
        <v>18.433333333333302</v>
      </c>
      <c r="G199" s="11">
        <v>18.433333333333302</v>
      </c>
      <c r="H199" s="11">
        <v>299.66666666666703</v>
      </c>
      <c r="I199" s="11">
        <v>552.66666666666697</v>
      </c>
      <c r="J199" s="12">
        <v>5.9733330000000002</v>
      </c>
      <c r="K199" s="12">
        <f>G199/J199</f>
        <v>3.0859376722063399</v>
      </c>
      <c r="L199" s="11">
        <v>100.5321</v>
      </c>
      <c r="M199" s="11">
        <v>285.22390000000001</v>
      </c>
      <c r="N199" s="11">
        <v>1.8530409999999999</v>
      </c>
      <c r="O199" s="5">
        <v>1.5249999999999999</v>
      </c>
      <c r="P199" s="5">
        <v>1.641</v>
      </c>
      <c r="Q199" s="5">
        <v>2.7530000000000001</v>
      </c>
      <c r="R199" s="5">
        <v>2.7850000000000001</v>
      </c>
      <c r="S199" s="6">
        <f t="shared" si="22"/>
        <v>4.4260000000000002</v>
      </c>
      <c r="T199" s="5">
        <f>O199+P199+R199</f>
        <v>5.9509999999999996</v>
      </c>
      <c r="U199" s="5">
        <v>725.96</v>
      </c>
      <c r="V199" s="5">
        <v>38.5</v>
      </c>
      <c r="W199" s="5">
        <v>6.5</v>
      </c>
      <c r="X199" s="5">
        <f t="shared" si="20"/>
        <v>263.69778423538003</v>
      </c>
      <c r="Y199" s="7">
        <f t="shared" si="21"/>
        <v>2.90229508196721</v>
      </c>
      <c r="Z199" s="5">
        <v>3.81</v>
      </c>
      <c r="AA199" s="5">
        <v>1.44483580362554</v>
      </c>
      <c r="AB199" s="8">
        <f t="shared" si="19"/>
        <v>38.1</v>
      </c>
    </row>
    <row r="200" spans="1:28">
      <c r="A200" s="2" t="s">
        <v>78</v>
      </c>
      <c r="B200" s="2">
        <v>2</v>
      </c>
      <c r="C200" s="3">
        <v>290</v>
      </c>
      <c r="D200" s="2" t="s">
        <v>129</v>
      </c>
      <c r="E200" s="5" t="s">
        <v>228</v>
      </c>
      <c r="G200" s="12"/>
      <c r="I200" s="12"/>
      <c r="J200" s="12"/>
      <c r="K200" s="12"/>
      <c r="O200" s="5">
        <v>0.97899999999999998</v>
      </c>
      <c r="P200" s="5">
        <v>0.37</v>
      </c>
      <c r="Q200" s="5">
        <v>1.431</v>
      </c>
      <c r="R200" s="5">
        <v>1.46</v>
      </c>
      <c r="S200" s="6">
        <f t="shared" si="22"/>
        <v>1.83</v>
      </c>
      <c r="T200" s="5">
        <f>O200+P200+R200</f>
        <v>2.8090000000000002</v>
      </c>
      <c r="U200" s="5">
        <v>396.76979999999998</v>
      </c>
      <c r="V200" s="5">
        <v>6.3</v>
      </c>
      <c r="W200" s="5">
        <v>5.1100000000000003</v>
      </c>
      <c r="X200" s="5">
        <f t="shared" si="20"/>
        <v>277.26750524109002</v>
      </c>
      <c r="Y200" s="7">
        <f t="shared" si="21"/>
        <v>1.86925434116445</v>
      </c>
    </row>
    <row r="201" spans="1:28">
      <c r="A201" s="2" t="s">
        <v>78</v>
      </c>
      <c r="B201" s="2">
        <v>2</v>
      </c>
      <c r="C201" s="3">
        <v>290</v>
      </c>
      <c r="D201" s="2" t="s">
        <v>129</v>
      </c>
      <c r="E201" s="5" t="s">
        <v>229</v>
      </c>
      <c r="G201" s="12"/>
      <c r="I201" s="12"/>
      <c r="J201" s="12"/>
      <c r="K201" s="12"/>
      <c r="O201" s="5">
        <v>2.0249999999999999</v>
      </c>
      <c r="P201" s="5">
        <v>0.54</v>
      </c>
      <c r="Q201" s="5">
        <v>1.3220000000000001</v>
      </c>
      <c r="R201" s="5">
        <v>1.3480000000000001</v>
      </c>
      <c r="S201" s="6">
        <f t="shared" si="22"/>
        <v>1.8879999999999999</v>
      </c>
      <c r="T201" s="5">
        <f>O201+P201+R201</f>
        <v>3.9129999999999998</v>
      </c>
      <c r="U201" s="5">
        <v>203.29400000000001</v>
      </c>
      <c r="V201" s="5">
        <v>7.8</v>
      </c>
      <c r="W201" s="5">
        <v>6.03</v>
      </c>
      <c r="X201" s="5">
        <f t="shared" si="20"/>
        <v>153.77760968230001</v>
      </c>
      <c r="Y201" s="7">
        <f t="shared" si="21"/>
        <v>0.932345679012346</v>
      </c>
    </row>
  </sheetData>
  <pageMargins left="0.7" right="0.7" top="0.75" bottom="0.75" header="0.3" footer="0.3"/>
  <pageSetup paperSize="9" orientation="portrait" horizontalDpi="2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" defaultRowHeight="15"/>
  <sheetData/>
  <pageMargins left="0.7" right="0.7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" defaultRowHeight="15"/>
  <sheetData/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Mires, D. (Daniella)</cp:lastModifiedBy>
  <dcterms:created xsi:type="dcterms:W3CDTF">2006-09-13T11:21:00Z</dcterms:created>
  <dcterms:modified xsi:type="dcterms:W3CDTF">2025-10-08T13:12:25Z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18F96AA2708144C1A5697653B5A75B78_12</vt:lpwstr>
  </property>
  <property fmtid="{D5CDD505-2E9C-101B-9397-08002B2CF9AE}" pid="3" name="KSOProductBuildVer">
    <vt:lpwstr>2052-12.1.0.22529</vt:lpwstr>
  </property>
</Properties>
</file>